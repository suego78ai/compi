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tables/table17.xml" ContentType="application/vnd.openxmlformats-officedocument.spreadsheetml.table+xml"/>
  <Override PartName="/xl/queryTables/queryTable16.xml" ContentType="application/vnd.openxmlformats-officedocument.spreadsheetml.queryTable+xml"/>
  <Override PartName="/xl/tables/table18.xml" ContentType="application/vnd.openxmlformats-officedocument.spreadsheetml.table+xml"/>
  <Override PartName="/xl/queryTables/queryTable17.xml" ContentType="application/vnd.openxmlformats-officedocument.spreadsheetml.query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1. Work\2. 입시\3. 수시2차\0. 경쟁률 데이터\"/>
    </mc:Choice>
  </mc:AlternateContent>
  <xr:revisionPtr revIDLastSave="0" documentId="13_ncr:1_{57A12F96-5A71-4B95-843D-2272193B18F9}" xr6:coauthVersionLast="36" xr6:coauthVersionMax="36" xr10:uidLastSave="{00000000-0000-0000-0000-000000000000}"/>
  <bookViews>
    <workbookView xWindow="0" yWindow="0" windowWidth="38400" windowHeight="16845" activeTab="4" xr2:uid="{515C12E0-0030-4185-BB76-9AFC37F5E269}"/>
  </bookViews>
  <sheets>
    <sheet name="일자별 누계" sheetId="9" r:id="rId1"/>
    <sheet name="2026학년도 대학별 수시2차 지원현황" sheetId="2" r:id="rId2"/>
    <sheet name="학과별 원서접수 데이터" sheetId="5" r:id="rId3"/>
    <sheet name="정원내•외 지원 현황" sheetId="4" r:id="rId4"/>
    <sheet name="학과별 원서접수" sheetId="8" r:id="rId5"/>
  </sheets>
  <definedNames>
    <definedName name="_xlnm._FilterDatabase" localSheetId="4" hidden="1">'학과별 원서접수'!$A$3:$L$33</definedName>
    <definedName name="_xlnm.Criteria" localSheetId="4">'학과별 원서접수'!$G$4:$G$32</definedName>
    <definedName name="ExternalData_1" localSheetId="2" hidden="1">'학과별 원서접수 데이터'!$A$1:$F$10</definedName>
    <definedName name="ExternalData_10" localSheetId="2" hidden="1">'학과별 원서접수 데이터'!$K$35:$O$44</definedName>
    <definedName name="ExternalData_11" localSheetId="2" hidden="1">'학과별 원서접수 데이터'!$R$15:$AH$37</definedName>
    <definedName name="ExternalData_12" localSheetId="2" hidden="1">'학과별 원서접수 데이터'!$K$1:$O$10</definedName>
    <definedName name="ExternalData_2" localSheetId="4" hidden="1">'학과별 원서접수'!$N$3:$R$32</definedName>
    <definedName name="ExternalData_2" localSheetId="2" hidden="1">'학과별 원서접수 데이터'!$A$13:$D$17</definedName>
    <definedName name="ExternalData_3" localSheetId="4" hidden="1">'학과별 원서접수'!$T$3:$X$32</definedName>
    <definedName name="ExternalData_3" localSheetId="2" hidden="1">'학과별 원서접수 데이터'!$A$20:$D$23</definedName>
    <definedName name="ExternalData_4" localSheetId="4" hidden="1">'학과별 원서접수'!$Z$3:$AC$32</definedName>
    <definedName name="ExternalData_4" localSheetId="2" hidden="1">'학과별 원서접수 데이터'!$A$26:$D$27</definedName>
    <definedName name="ExternalData_5" localSheetId="4" hidden="1">'학과별 원서접수'!$AE$3:$AI$33</definedName>
    <definedName name="ExternalData_5" localSheetId="2" hidden="1">'학과별 원서접수 데이터'!$A$31:$E$41</definedName>
    <definedName name="ExternalData_6" localSheetId="4" hidden="1">'학과별 원서접수'!$A$39:$E$42</definedName>
    <definedName name="ExternalData_7" localSheetId="4" hidden="1">'학과별 원서접수'!$AK$3:$AO$33</definedName>
    <definedName name="ExternalData_7" localSheetId="2" hidden="1">'학과별 원서접수 데이터'!$K$14:$N$15</definedName>
    <definedName name="ExternalData_8" localSheetId="2" hidden="1">'학과별 원서접수 데이터'!$K$18:$O$28</definedName>
    <definedName name="ExternalData_9" localSheetId="2" hidden="1">'학과별 원서접수 데이터'!$K$31:$N$32</definedName>
    <definedName name="_xlnm.Extract" localSheetId="4">'학과별 원서접수'!$O$45:$Z$45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지원인원 현황 전문대졸  북한이탈주민  지원현황  2_33e6e992-4da9-43cb-a78c-2bcb95dd9105" name="지원인원 현황 전문대졸  북한이탈주민  지원현황  2" connection="쿼리 - 지원인원 현황(전문대졸, 북한이탈주민) 지원현황 (2)"/>
          <x15:modelTable id="전형별 경쟁률 현황  4_20994bfb-9dd7-488f-ad80-df5def5ebf07" name="전형별 경쟁률 현황  4" connection="쿼리 - 전형별 경쟁률 현황 (4)"/>
        </x15:modelTables>
      </x15:dataModel>
    </ext>
  </extLst>
</workbook>
</file>

<file path=xl/calcChain.xml><?xml version="1.0" encoding="utf-8"?>
<calcChain xmlns="http://schemas.openxmlformats.org/spreadsheetml/2006/main">
  <c r="F2" i="8" l="1"/>
  <c r="H5" i="9" l="1"/>
  <c r="H6" i="9"/>
  <c r="H22" i="9"/>
  <c r="H7" i="9"/>
  <c r="H23" i="9"/>
  <c r="H8" i="9"/>
  <c r="H24" i="9"/>
  <c r="H9" i="9"/>
  <c r="H25" i="9"/>
  <c r="H10" i="9"/>
  <c r="H26" i="9"/>
  <c r="H11" i="9"/>
  <c r="H27" i="9"/>
  <c r="H12" i="9"/>
  <c r="H28" i="9"/>
  <c r="H13" i="9"/>
  <c r="H29" i="9"/>
  <c r="H14" i="9"/>
  <c r="H30" i="9"/>
  <c r="H15" i="9"/>
  <c r="H31" i="9"/>
  <c r="H16" i="9"/>
  <c r="H32" i="9"/>
  <c r="H33" i="9"/>
  <c r="H17" i="9"/>
  <c r="H18" i="9"/>
  <c r="H19" i="9"/>
  <c r="H20" i="9"/>
  <c r="H21" i="9"/>
  <c r="F6" i="8" l="1"/>
  <c r="F7" i="8"/>
  <c r="I7" i="8" s="1"/>
  <c r="F8" i="8"/>
  <c r="H8" i="8" s="1"/>
  <c r="F9" i="8"/>
  <c r="H9" i="8" s="1"/>
  <c r="F10" i="8"/>
  <c r="I10" i="8" s="1"/>
  <c r="F11" i="8"/>
  <c r="I11" i="8" s="1"/>
  <c r="F12" i="8"/>
  <c r="H12" i="8" s="1"/>
  <c r="F13" i="8"/>
  <c r="I13" i="8" s="1"/>
  <c r="F14" i="8"/>
  <c r="H14" i="8" s="1"/>
  <c r="F15" i="8"/>
  <c r="H15" i="8" s="1"/>
  <c r="F16" i="8"/>
  <c r="F17" i="8"/>
  <c r="F18" i="8"/>
  <c r="F19" i="8"/>
  <c r="H19" i="8" s="1"/>
  <c r="F20" i="8"/>
  <c r="I20" i="8" s="1"/>
  <c r="F21" i="8"/>
  <c r="F22" i="8"/>
  <c r="I22" i="8" s="1"/>
  <c r="F23" i="8"/>
  <c r="I23" i="8" s="1"/>
  <c r="F24" i="8"/>
  <c r="I24" i="8" s="1"/>
  <c r="F25" i="8"/>
  <c r="H25" i="8" s="1"/>
  <c r="F26" i="8"/>
  <c r="F27" i="8"/>
  <c r="I27" i="8" s="1"/>
  <c r="F28" i="8"/>
  <c r="H28" i="8" s="1"/>
  <c r="F29" i="8"/>
  <c r="H29" i="8" s="1"/>
  <c r="F30" i="8"/>
  <c r="H30" i="8" s="1"/>
  <c r="F31" i="8"/>
  <c r="H31" i="8" s="1"/>
  <c r="F32" i="8"/>
  <c r="H32" i="8" s="1"/>
  <c r="F5" i="8"/>
  <c r="D69" i="8"/>
  <c r="C69" i="8"/>
  <c r="C53" i="8"/>
  <c r="C54" i="8"/>
  <c r="D53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D47" i="8"/>
  <c r="D48" i="8"/>
  <c r="D49" i="8"/>
  <c r="D50" i="8"/>
  <c r="D51" i="8"/>
  <c r="D52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70" i="8"/>
  <c r="D71" i="8"/>
  <c r="D72" i="8"/>
  <c r="D73" i="8"/>
  <c r="D74" i="8"/>
  <c r="D75" i="8"/>
  <c r="C47" i="8"/>
  <c r="C48" i="8"/>
  <c r="C49" i="8"/>
  <c r="C50" i="8"/>
  <c r="C51" i="8"/>
  <c r="C52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70" i="8"/>
  <c r="C71" i="8"/>
  <c r="C72" i="8"/>
  <c r="C73" i="8"/>
  <c r="C74" i="8"/>
  <c r="C75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48" i="8"/>
  <c r="E49" i="8"/>
  <c r="E50" i="8"/>
  <c r="E51" i="8"/>
  <c r="E52" i="8"/>
  <c r="E53" i="8"/>
  <c r="E54" i="8"/>
  <c r="E55" i="8"/>
  <c r="E56" i="8"/>
  <c r="E57" i="8"/>
  <c r="E47" i="8"/>
  <c r="E76" i="8"/>
  <c r="U13" i="2"/>
  <c r="AQ13" i="2" s="1"/>
  <c r="U14" i="2"/>
  <c r="AQ14" i="2" s="1"/>
  <c r="U12" i="2"/>
  <c r="AQ12" i="2" s="1"/>
  <c r="U11" i="2"/>
  <c r="AQ11" i="2" s="1"/>
  <c r="U10" i="2"/>
  <c r="AQ10" i="2" s="1"/>
  <c r="U9" i="2"/>
  <c r="AQ9" i="2" s="1"/>
  <c r="U8" i="2"/>
  <c r="AQ8" i="2" s="1"/>
  <c r="U7" i="2"/>
  <c r="AQ7" i="2" s="1"/>
  <c r="U6" i="2"/>
  <c r="AQ6" i="2" s="1"/>
  <c r="U5" i="2"/>
  <c r="AQ5" i="2" s="1"/>
  <c r="Q15" i="2"/>
  <c r="AM15" i="2" s="1"/>
  <c r="Q10" i="2"/>
  <c r="Q11" i="2"/>
  <c r="Q12" i="2"/>
  <c r="Q13" i="2"/>
  <c r="Q14" i="2"/>
  <c r="M14" i="2"/>
  <c r="M13" i="2"/>
  <c r="M12" i="2"/>
  <c r="M11" i="2"/>
  <c r="M10" i="2"/>
  <c r="M9" i="2"/>
  <c r="M8" i="2"/>
  <c r="M7" i="2"/>
  <c r="M6" i="2"/>
  <c r="M5" i="2"/>
  <c r="AI5" i="2" s="1"/>
  <c r="X2" i="2"/>
  <c r="AT2" i="2" s="1"/>
  <c r="T43" i="5"/>
  <c r="U43" i="5"/>
  <c r="V43" i="5"/>
  <c r="T44" i="5"/>
  <c r="U44" i="5"/>
  <c r="V44" i="5"/>
  <c r="T45" i="5"/>
  <c r="U45" i="5"/>
  <c r="V45" i="5"/>
  <c r="T46" i="5"/>
  <c r="U46" i="5"/>
  <c r="V46" i="5"/>
  <c r="T47" i="5"/>
  <c r="U47" i="5"/>
  <c r="V47" i="5"/>
  <c r="T48" i="5"/>
  <c r="U48" i="5"/>
  <c r="V48" i="5"/>
  <c r="T49" i="5"/>
  <c r="U49" i="5"/>
  <c r="V49" i="5"/>
  <c r="T50" i="5"/>
  <c r="U50" i="5"/>
  <c r="V50" i="5"/>
  <c r="T51" i="5"/>
  <c r="U51" i="5"/>
  <c r="V51" i="5"/>
  <c r="T52" i="5"/>
  <c r="U52" i="5"/>
  <c r="V52" i="5"/>
  <c r="T53" i="5"/>
  <c r="U53" i="5"/>
  <c r="V53" i="5"/>
  <c r="T54" i="5"/>
  <c r="U54" i="5"/>
  <c r="V54" i="5"/>
  <c r="T55" i="5"/>
  <c r="U55" i="5"/>
  <c r="V55" i="5"/>
  <c r="T56" i="5"/>
  <c r="U56" i="5"/>
  <c r="V56" i="5"/>
  <c r="T57" i="5"/>
  <c r="U57" i="5"/>
  <c r="V57" i="5"/>
  <c r="T58" i="5"/>
  <c r="U58" i="5"/>
  <c r="V58" i="5"/>
  <c r="T59" i="5"/>
  <c r="U59" i="5"/>
  <c r="V59" i="5"/>
  <c r="T60" i="5"/>
  <c r="U60" i="5"/>
  <c r="V60" i="5"/>
  <c r="T61" i="5"/>
  <c r="U61" i="5"/>
  <c r="V61" i="5"/>
  <c r="T62" i="5"/>
  <c r="U62" i="5"/>
  <c r="V62" i="5"/>
  <c r="U42" i="5"/>
  <c r="V42" i="5"/>
  <c r="T42" i="5"/>
  <c r="H49" i="8"/>
  <c r="I49" i="8"/>
  <c r="J49" i="8"/>
  <c r="K49" i="8"/>
  <c r="L49" i="8"/>
  <c r="H50" i="8"/>
  <c r="I50" i="8"/>
  <c r="J50" i="8"/>
  <c r="K50" i="8"/>
  <c r="L50" i="8"/>
  <c r="H51" i="8"/>
  <c r="I51" i="8"/>
  <c r="J51" i="8"/>
  <c r="K51" i="8"/>
  <c r="L51" i="8"/>
  <c r="H52" i="8"/>
  <c r="I52" i="8"/>
  <c r="J52" i="8"/>
  <c r="K52" i="8"/>
  <c r="L52" i="8"/>
  <c r="H53" i="8"/>
  <c r="I53" i="8"/>
  <c r="J53" i="8"/>
  <c r="K53" i="8"/>
  <c r="L53" i="8"/>
  <c r="H54" i="8"/>
  <c r="I54" i="8"/>
  <c r="J54" i="8"/>
  <c r="K54" i="8"/>
  <c r="L54" i="8"/>
  <c r="H55" i="8"/>
  <c r="I55" i="8"/>
  <c r="J55" i="8"/>
  <c r="K55" i="8"/>
  <c r="L55" i="8"/>
  <c r="H56" i="8"/>
  <c r="I56" i="8"/>
  <c r="J56" i="8"/>
  <c r="K56" i="8"/>
  <c r="L56" i="8"/>
  <c r="H57" i="8"/>
  <c r="I57" i="8"/>
  <c r="J57" i="8"/>
  <c r="K57" i="8"/>
  <c r="L57" i="8"/>
  <c r="H58" i="8"/>
  <c r="I58" i="8"/>
  <c r="J58" i="8"/>
  <c r="K58" i="8"/>
  <c r="L58" i="8"/>
  <c r="H59" i="8"/>
  <c r="I59" i="8"/>
  <c r="J59" i="8"/>
  <c r="K59" i="8"/>
  <c r="L59" i="8"/>
  <c r="H60" i="8"/>
  <c r="I60" i="8"/>
  <c r="J60" i="8"/>
  <c r="K60" i="8"/>
  <c r="L60" i="8"/>
  <c r="H61" i="8"/>
  <c r="I61" i="8"/>
  <c r="J61" i="8"/>
  <c r="K61" i="8"/>
  <c r="L61" i="8"/>
  <c r="H62" i="8"/>
  <c r="I62" i="8"/>
  <c r="J62" i="8"/>
  <c r="K62" i="8"/>
  <c r="L62" i="8"/>
  <c r="H63" i="8"/>
  <c r="I63" i="8"/>
  <c r="J63" i="8"/>
  <c r="K63" i="8"/>
  <c r="L63" i="8"/>
  <c r="H64" i="8"/>
  <c r="I64" i="8"/>
  <c r="J64" i="8"/>
  <c r="K64" i="8"/>
  <c r="L64" i="8"/>
  <c r="H65" i="8"/>
  <c r="I65" i="8"/>
  <c r="J65" i="8"/>
  <c r="K65" i="8"/>
  <c r="L65" i="8"/>
  <c r="H66" i="8"/>
  <c r="I66" i="8"/>
  <c r="J66" i="8"/>
  <c r="K66" i="8"/>
  <c r="L66" i="8"/>
  <c r="H67" i="8"/>
  <c r="I67" i="8"/>
  <c r="J67" i="8"/>
  <c r="K67" i="8"/>
  <c r="L67" i="8"/>
  <c r="H68" i="8"/>
  <c r="I68" i="8"/>
  <c r="J68" i="8"/>
  <c r="K68" i="8"/>
  <c r="L68" i="8"/>
  <c r="H69" i="8"/>
  <c r="I69" i="8"/>
  <c r="J69" i="8"/>
  <c r="K69" i="8"/>
  <c r="L69" i="8"/>
  <c r="H70" i="8"/>
  <c r="I70" i="8"/>
  <c r="J70" i="8"/>
  <c r="K70" i="8"/>
  <c r="L70" i="8"/>
  <c r="H71" i="8"/>
  <c r="I71" i="8"/>
  <c r="J71" i="8"/>
  <c r="K71" i="8"/>
  <c r="L71" i="8"/>
  <c r="H72" i="8"/>
  <c r="I72" i="8"/>
  <c r="J72" i="8"/>
  <c r="K72" i="8"/>
  <c r="L72" i="8"/>
  <c r="H73" i="8"/>
  <c r="I73" i="8"/>
  <c r="J73" i="8"/>
  <c r="K73" i="8"/>
  <c r="L73" i="8"/>
  <c r="H74" i="8"/>
  <c r="I74" i="8"/>
  <c r="J74" i="8"/>
  <c r="K74" i="8"/>
  <c r="L74" i="8"/>
  <c r="H75" i="8"/>
  <c r="I75" i="8"/>
  <c r="J75" i="8"/>
  <c r="K75" i="8"/>
  <c r="L75" i="8"/>
  <c r="I48" i="8"/>
  <c r="H48" i="8"/>
  <c r="J48" i="8"/>
  <c r="L48" i="8"/>
  <c r="K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48" i="8"/>
  <c r="C33" i="8"/>
  <c r="E26" i="8"/>
  <c r="E10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7" i="8"/>
  <c r="E28" i="8"/>
  <c r="E29" i="8"/>
  <c r="E30" i="8"/>
  <c r="E31" i="8"/>
  <c r="E32" i="8"/>
  <c r="E5" i="8"/>
  <c r="AE41" i="8"/>
  <c r="E4" i="8"/>
  <c r="D33" i="8"/>
  <c r="F4" i="8"/>
  <c r="H4" i="8" s="1"/>
  <c r="M47" i="8" l="1"/>
  <c r="F76" i="8"/>
  <c r="D76" i="8"/>
  <c r="F33" i="8"/>
  <c r="C76" i="8"/>
  <c r="H18" i="8"/>
  <c r="M48" i="8"/>
  <c r="M49" i="8"/>
  <c r="G6" i="8"/>
  <c r="H22" i="8"/>
  <c r="I8" i="8"/>
  <c r="G18" i="8"/>
  <c r="G17" i="8"/>
  <c r="H10" i="8"/>
  <c r="G76" i="8"/>
  <c r="L76" i="8"/>
  <c r="K76" i="8"/>
  <c r="H76" i="8"/>
  <c r="H6" i="8"/>
  <c r="G21" i="8"/>
  <c r="G26" i="8"/>
  <c r="I9" i="8"/>
  <c r="G4" i="8"/>
  <c r="I6" i="8"/>
  <c r="J76" i="8"/>
  <c r="I76" i="8"/>
  <c r="I17" i="8"/>
  <c r="H17" i="8"/>
  <c r="I4" i="8"/>
  <c r="G5" i="8"/>
  <c r="G16" i="8"/>
  <c r="G23" i="8"/>
  <c r="H20" i="8"/>
  <c r="H11" i="8"/>
  <c r="G20" i="8"/>
  <c r="H7" i="8"/>
  <c r="G7" i="8"/>
  <c r="I25" i="8"/>
  <c r="H21" i="8"/>
  <c r="G8" i="8"/>
  <c r="H27" i="8"/>
  <c r="G24" i="8"/>
  <c r="H26" i="8"/>
  <c r="I21" i="8"/>
  <c r="G22" i="8"/>
  <c r="H24" i="8"/>
  <c r="H23" i="8"/>
  <c r="I18" i="8"/>
  <c r="V63" i="5"/>
  <c r="U63" i="5"/>
  <c r="T63" i="5"/>
  <c r="I32" i="8"/>
  <c r="I16" i="8"/>
  <c r="G30" i="8"/>
  <c r="G14" i="8"/>
  <c r="G19" i="8"/>
  <c r="G32" i="8"/>
  <c r="I31" i="8"/>
  <c r="I15" i="8"/>
  <c r="G29" i="8"/>
  <c r="G13" i="8"/>
  <c r="I5" i="8"/>
  <c r="I19" i="8"/>
  <c r="G15" i="8"/>
  <c r="H16" i="8"/>
  <c r="I30" i="8"/>
  <c r="I14" i="8"/>
  <c r="G28" i="8"/>
  <c r="G12" i="8"/>
  <c r="I29" i="8"/>
  <c r="G11" i="8"/>
  <c r="I28" i="8"/>
  <c r="I12" i="8"/>
  <c r="G10" i="8"/>
  <c r="G31" i="8"/>
  <c r="G27" i="8"/>
  <c r="H13" i="8"/>
  <c r="G25" i="8"/>
  <c r="G9" i="8"/>
  <c r="H5" i="8"/>
  <c r="I26" i="8"/>
  <c r="E33" i="8"/>
  <c r="AM6" i="2"/>
  <c r="AN6" i="2" s="1"/>
  <c r="AM5" i="2"/>
  <c r="AN5" i="2" s="1"/>
  <c r="AM14" i="2"/>
  <c r="AN14" i="2" s="1"/>
  <c r="AM13" i="2"/>
  <c r="AN13" i="2" s="1"/>
  <c r="AM12" i="2"/>
  <c r="AN12" i="2" s="1"/>
  <c r="AM11" i="2"/>
  <c r="AN11" i="2" s="1"/>
  <c r="AM10" i="2"/>
  <c r="AN10" i="2" s="1"/>
  <c r="Q9" i="2"/>
  <c r="AM9" i="2" s="1"/>
  <c r="AN9" i="2" s="1"/>
  <c r="Q8" i="2"/>
  <c r="AM8" i="2" s="1"/>
  <c r="AN8" i="2" s="1"/>
  <c r="Q7" i="2"/>
  <c r="AM7" i="2" s="1"/>
  <c r="AN7" i="2" s="1"/>
  <c r="Q6" i="2"/>
  <c r="Q5" i="2"/>
  <c r="AN15" i="2"/>
  <c r="AF15" i="2"/>
  <c r="AB15" i="2"/>
  <c r="AF14" i="2"/>
  <c r="AB14" i="2"/>
  <c r="AF13" i="2"/>
  <c r="AB13" i="2"/>
  <c r="AF12" i="2"/>
  <c r="AB12" i="2"/>
  <c r="AF11" i="2"/>
  <c r="AB11" i="2"/>
  <c r="AF10" i="2"/>
  <c r="AB10" i="2"/>
  <c r="AF9" i="2"/>
  <c r="AB9" i="2"/>
  <c r="AF8" i="2"/>
  <c r="AB8" i="2"/>
  <c r="AF7" i="2"/>
  <c r="AB7" i="2"/>
  <c r="AF6" i="2"/>
  <c r="AB6" i="2"/>
  <c r="AF5" i="2"/>
  <c r="AB5" i="2"/>
  <c r="M51" i="8" l="1"/>
  <c r="F7" i="9"/>
  <c r="F23" i="9"/>
  <c r="F8" i="9"/>
  <c r="F24" i="9"/>
  <c r="F9" i="9"/>
  <c r="F25" i="9"/>
  <c r="F10" i="9"/>
  <c r="F26" i="9"/>
  <c r="F11" i="9"/>
  <c r="F27" i="9"/>
  <c r="F12" i="9"/>
  <c r="F28" i="9"/>
  <c r="F13" i="9"/>
  <c r="F29" i="9"/>
  <c r="F14" i="9"/>
  <c r="F30" i="9"/>
  <c r="F15" i="9"/>
  <c r="F31" i="9"/>
  <c r="F16" i="9"/>
  <c r="F32" i="9"/>
  <c r="F19" i="9"/>
  <c r="F20" i="9"/>
  <c r="F6" i="9"/>
  <c r="F17" i="9"/>
  <c r="F33" i="9"/>
  <c r="F21" i="9"/>
  <c r="F22" i="9"/>
  <c r="F18" i="9"/>
  <c r="E7" i="9"/>
  <c r="E23" i="9"/>
  <c r="E8" i="9"/>
  <c r="E24" i="9"/>
  <c r="E25" i="9"/>
  <c r="E10" i="9"/>
  <c r="E26" i="9"/>
  <c r="E11" i="9"/>
  <c r="E27" i="9"/>
  <c r="E9" i="9"/>
  <c r="E12" i="9"/>
  <c r="E28" i="9"/>
  <c r="E13" i="9"/>
  <c r="E29" i="9"/>
  <c r="E14" i="9"/>
  <c r="E30" i="9"/>
  <c r="E22" i="9"/>
  <c r="E15" i="9"/>
  <c r="E31" i="9"/>
  <c r="E18" i="9"/>
  <c r="E16" i="9"/>
  <c r="E32" i="9"/>
  <c r="E34" i="9"/>
  <c r="E19" i="9"/>
  <c r="E6" i="9"/>
  <c r="E17" i="9"/>
  <c r="E33" i="9"/>
  <c r="E21" i="9"/>
  <c r="E20" i="9"/>
  <c r="G5" i="9"/>
  <c r="G6" i="9"/>
  <c r="G22" i="9"/>
  <c r="G23" i="9"/>
  <c r="G8" i="9"/>
  <c r="G24" i="9"/>
  <c r="G9" i="9"/>
  <c r="G25" i="9"/>
  <c r="G10" i="9"/>
  <c r="G7" i="9"/>
  <c r="G11" i="9"/>
  <c r="G27" i="9"/>
  <c r="G26" i="9"/>
  <c r="G12" i="9"/>
  <c r="G28" i="9"/>
  <c r="G13" i="9"/>
  <c r="G29" i="9"/>
  <c r="G14" i="9"/>
  <c r="G30" i="9"/>
  <c r="G32" i="9"/>
  <c r="G20" i="9"/>
  <c r="G15" i="9"/>
  <c r="G31" i="9"/>
  <c r="G16" i="9"/>
  <c r="G17" i="9"/>
  <c r="G33" i="9"/>
  <c r="G18" i="9"/>
  <c r="G19" i="9"/>
  <c r="G21" i="9"/>
  <c r="U15" i="2"/>
  <c r="AQ15" i="2" s="1"/>
  <c r="M15" i="2"/>
  <c r="AJ5" i="2"/>
  <c r="L4" i="4"/>
  <c r="AI10" i="2"/>
  <c r="AJ10" i="2" s="1"/>
  <c r="L9" i="4"/>
  <c r="AI11" i="2"/>
  <c r="AJ11" i="2" s="1"/>
  <c r="L10" i="4"/>
  <c r="AI9" i="2"/>
  <c r="AJ9" i="2" s="1"/>
  <c r="L8" i="4"/>
  <c r="AI14" i="2"/>
  <c r="AJ14" i="2" s="1"/>
  <c r="L13" i="4"/>
  <c r="AI6" i="2"/>
  <c r="AJ6" i="2" s="1"/>
  <c r="L5" i="4"/>
  <c r="AI7" i="2"/>
  <c r="AJ7" i="2" s="1"/>
  <c r="L6" i="4"/>
  <c r="AI8" i="2"/>
  <c r="AJ8" i="2" s="1"/>
  <c r="L7" i="4"/>
  <c r="AI12" i="2"/>
  <c r="AJ12" i="2" s="1"/>
  <c r="L11" i="4"/>
  <c r="AI13" i="2"/>
  <c r="AJ13" i="2" s="1"/>
  <c r="L12" i="4"/>
  <c r="I33" i="8"/>
  <c r="G33" i="8"/>
  <c r="H33" i="8"/>
  <c r="E5" i="9"/>
  <c r="F5" i="9"/>
  <c r="L5" i="9"/>
  <c r="L34" i="9" s="1"/>
  <c r="M5" i="9"/>
  <c r="M34" i="9" s="1"/>
  <c r="N5" i="9"/>
  <c r="N34" i="9" s="1"/>
  <c r="J5" i="9"/>
  <c r="J34" i="9" s="1"/>
  <c r="O5" i="9"/>
  <c r="O34" i="9" s="1"/>
  <c r="P5" i="9"/>
  <c r="P34" i="9" s="1"/>
  <c r="Q5" i="9"/>
  <c r="Q34" i="9" s="1"/>
  <c r="R5" i="9"/>
  <c r="R34" i="9" s="1"/>
  <c r="H34" i="9"/>
  <c r="I5" i="9"/>
  <c r="I34" i="9" s="1"/>
  <c r="K5" i="9"/>
  <c r="K34" i="9" s="1"/>
  <c r="D12" i="9"/>
  <c r="D28" i="9"/>
  <c r="D13" i="9"/>
  <c r="D29" i="9"/>
  <c r="D33" i="9"/>
  <c r="D19" i="9"/>
  <c r="D21" i="9"/>
  <c r="D22" i="9"/>
  <c r="D7" i="9"/>
  <c r="D25" i="9"/>
  <c r="D10" i="9"/>
  <c r="D14" i="9"/>
  <c r="D30" i="9"/>
  <c r="D15" i="9"/>
  <c r="D31" i="9"/>
  <c r="D16" i="9"/>
  <c r="D32" i="9"/>
  <c r="D17" i="9"/>
  <c r="D18" i="9"/>
  <c r="D20" i="9"/>
  <c r="D6" i="9"/>
  <c r="D23" i="9"/>
  <c r="D24" i="9"/>
  <c r="D9" i="9"/>
  <c r="D26" i="9"/>
  <c r="D11" i="9"/>
  <c r="D8" i="9"/>
  <c r="D27" i="9"/>
  <c r="D5" i="9"/>
  <c r="R5" i="2"/>
  <c r="N5" i="2"/>
  <c r="M4" i="4" s="1"/>
  <c r="N6" i="2"/>
  <c r="M5" i="4" s="1"/>
  <c r="N7" i="2"/>
  <c r="M6" i="4" s="1"/>
  <c r="N8" i="2"/>
  <c r="M7" i="4" s="1"/>
  <c r="N9" i="2"/>
  <c r="M8" i="4" s="1"/>
  <c r="N10" i="2"/>
  <c r="M9" i="4" s="1"/>
  <c r="N11" i="2"/>
  <c r="M10" i="4" s="1"/>
  <c r="N12" i="2"/>
  <c r="M11" i="4" s="1"/>
  <c r="N13" i="2"/>
  <c r="M12" i="4" s="1"/>
  <c r="N14" i="2"/>
  <c r="M13" i="4" s="1"/>
  <c r="R6" i="2"/>
  <c r="R7" i="2"/>
  <c r="R8" i="2"/>
  <c r="R9" i="2"/>
  <c r="R10" i="2"/>
  <c r="R11" i="2"/>
  <c r="R12" i="2"/>
  <c r="R13" i="2"/>
  <c r="R14" i="2"/>
  <c r="R15" i="2"/>
  <c r="F6" i="2"/>
  <c r="F7" i="2"/>
  <c r="F8" i="2"/>
  <c r="F9" i="2"/>
  <c r="F10" i="2"/>
  <c r="F11" i="2"/>
  <c r="F12" i="2"/>
  <c r="F13" i="2"/>
  <c r="F14" i="2"/>
  <c r="F15" i="2"/>
  <c r="F5" i="2"/>
  <c r="J7" i="2"/>
  <c r="J8" i="2"/>
  <c r="J9" i="2"/>
  <c r="J10" i="2"/>
  <c r="J11" i="2"/>
  <c r="J12" i="2"/>
  <c r="J13" i="2"/>
  <c r="J14" i="2"/>
  <c r="J15" i="2"/>
  <c r="J6" i="2"/>
  <c r="J5" i="2"/>
  <c r="M50" i="8" l="1"/>
  <c r="F34" i="9"/>
  <c r="L14" i="4"/>
  <c r="AI15" i="2"/>
  <c r="AJ15" i="2" s="1"/>
  <c r="AW15" i="2"/>
  <c r="AX15" i="2" s="1"/>
  <c r="AR15" i="2"/>
  <c r="N15" i="2"/>
  <c r="M14" i="4" s="1"/>
  <c r="AR14" i="2"/>
  <c r="AW14" i="2"/>
  <c r="AX14" i="2" s="1"/>
  <c r="AR13" i="2"/>
  <c r="AW13" i="2"/>
  <c r="AX13" i="2" s="1"/>
  <c r="AR12" i="2"/>
  <c r="AW12" i="2"/>
  <c r="AX12" i="2" s="1"/>
  <c r="AR11" i="2"/>
  <c r="AW11" i="2"/>
  <c r="AX11" i="2" s="1"/>
  <c r="AR10" i="2"/>
  <c r="AW10" i="2"/>
  <c r="AX10" i="2" s="1"/>
  <c r="AR9" i="2"/>
  <c r="AW9" i="2"/>
  <c r="AX9" i="2" s="1"/>
  <c r="AR8" i="2"/>
  <c r="AW8" i="2"/>
  <c r="AX8" i="2" s="1"/>
  <c r="AR7" i="2"/>
  <c r="AW7" i="2"/>
  <c r="AX7" i="2" s="1"/>
  <c r="AR6" i="2"/>
  <c r="AW6" i="2"/>
  <c r="AX6" i="2" s="1"/>
  <c r="AR5" i="2"/>
  <c r="AW5" i="2"/>
  <c r="AX5" i="2" s="1"/>
  <c r="M52" i="8" l="1"/>
  <c r="M54" i="8"/>
  <c r="M53" i="8"/>
  <c r="G34" i="9"/>
  <c r="D34" i="9"/>
  <c r="M55" i="8" l="1"/>
  <c r="M56" i="8" l="1"/>
  <c r="M57" i="8"/>
  <c r="M58" i="8"/>
  <c r="M59" i="8" l="1"/>
  <c r="M60" i="8"/>
  <c r="M61" i="8" l="1"/>
  <c r="M62" i="8" l="1"/>
  <c r="M63" i="8" l="1"/>
  <c r="M64" i="8" l="1"/>
  <c r="M65" i="8" l="1"/>
  <c r="M66" i="8" l="1"/>
  <c r="M67" i="8" l="1"/>
  <c r="M68" i="8" l="1"/>
  <c r="M69" i="8" l="1"/>
  <c r="M70" i="8" l="1"/>
  <c r="M71" i="8" l="1"/>
  <c r="M72" i="8" l="1"/>
  <c r="M73" i="8" l="1"/>
  <c r="M74" i="8" l="1"/>
  <c r="M75" i="8" l="1"/>
  <c r="M76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BBF898-5C04-4A61-8DBF-85A640517188}" keepAlive="1" name="ThisWorkbookDataModel" description="데이터 모델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D8AB41A-8472-4DB4-AA69-CDD1753112CE}" keepAlive="1" name="쿼리 - Table 1" description="통합 문서의 'Table 1' 쿼리에 대한 연결입니다." type="5" refreshedVersion="6" background="1" saveData="1">
    <dbPr connection="Provider=Microsoft.Mashup.OleDb.1;Data Source=$Workbook$;Location=Table 1;Extended Properties=&quot;&quot;" command="SELECT * FROM [Table 1]"/>
  </connection>
  <connection id="3" xr16:uid="{08F0E38D-5613-4540-8024-1946AF451D83}" keepAlive="1" name="쿼리 - 농어촌 경쟁률 현황" description="통합 문서의 '농어촌 경쟁률 현황' 쿼리에 대한 연결입니다." type="5" refreshedVersion="6" background="1">
    <dbPr connection="Provider=Microsoft.Mashup.OleDb.1;Data Source=$Workbook$;Location=농어촌 경쟁률 현황;Extended Properties=&quot;&quot;" command="SELECT * FROM [농어촌 경쟁률 현황]"/>
  </connection>
  <connection id="4" xr16:uid="{458B3498-54E0-4479-98C1-A3AFEB40F602}" keepAlive="1" name="쿼리 - 농어촌 경쟁률 현황 (2)" description="통합 문서의 '농어촌 경쟁률 현황 (2)' 쿼리에 대한 연결입니다." type="5" refreshedVersion="6" background="1" saveData="1">
    <dbPr connection="Provider=Microsoft.Mashup.OleDb.1;Data Source=$Workbook$;Location=농어촌 경쟁률 현황 (2);Extended Properties=&quot;&quot;" command="SELECT * FROM [농어촌 경쟁률 현황 (2)]"/>
  </connection>
  <connection id="5" xr16:uid="{FC309A69-5BF2-4B30-95B4-DB4EF78858A8}" keepAlive="1" name="쿼리 - 수급자 경쟁률 현황" description="통합 문서의 '수급자 경쟁률 현황' 쿼리에 대한 연결입니다." type="5" refreshedVersion="6" background="1">
    <dbPr connection="Provider=Microsoft.Mashup.OleDb.1;Data Source=$Workbook$;Location=수급자 경쟁률 현황;Extended Properties=&quot;&quot;" command="SELECT * FROM [수급자 경쟁률 현황]"/>
  </connection>
  <connection id="6" xr16:uid="{6BC39F76-A489-4729-9421-9F8D5C103AC9}" keepAlive="1" name="쿼리 - 수급자 경쟁률 현황 (2)" description="통합 문서의 '수급자 경쟁률 현황 (2)' 쿼리에 대한 연결입니다." type="5" refreshedVersion="6" background="1" saveData="1">
    <dbPr connection="Provider=Microsoft.Mashup.OleDb.1;Data Source=$Workbook$;Location=수급자 경쟁률 현황 (2);Extended Properties=&quot;&quot;" command="SELECT * FROM [수급자 경쟁률 현황 (2)]"/>
  </connection>
  <connection id="7" xr16:uid="{48CD0871-CF7E-45D4-BF95-F51D2B9C3951}" keepAlive="1" name="쿼리 - 일반고 경쟁률 현황" description="통합 문서의 '일반고 경쟁률 현황' 쿼리에 대한 연결입니다." type="5" refreshedVersion="6" background="1">
    <dbPr connection="Provider=Microsoft.Mashup.OleDb.1;Data Source=$Workbook$;Location=일반고 경쟁률 현황;Extended Properties=&quot;&quot;" command="SELECT * FROM [일반고 경쟁률 현황]"/>
  </connection>
  <connection id="8" xr16:uid="{B20C9D3A-3030-4172-A5BF-4D63E9ADCBE8}" keepAlive="1" name="쿼리 - 일반고 경쟁률 현황 (2)" description="통합 문서의 '일반고 경쟁률 현황 (2)' 쿼리에 대한 연결입니다." type="5" refreshedVersion="6" background="1">
    <dbPr connection="Provider=Microsoft.Mashup.OleDb.1;Data Source=$Workbook$;Location=일반고 경쟁률 현황 (2);Extended Properties=&quot;&quot;" command="SELECT * FROM [일반고 경쟁률 현황 (2)]"/>
  </connection>
  <connection id="9" xr16:uid="{0908108E-23BC-44D7-875B-8DF2AD18EF56}" keepAlive="1" name="쿼리 - 일반고 경쟁률 현황 (3)" description="통합 문서의 '일반고 경쟁률 현황 (3)' 쿼리에 대한 연결입니다." type="5" refreshedVersion="6" background="1" saveData="1">
    <dbPr connection="Provider=Microsoft.Mashup.OleDb.1;Data Source=$Workbook$;Location=일반고 경쟁률 현황 (3);Extended Properties=&quot;&quot;" command="SELECT * FROM [일반고 경쟁률 현황 (3)]"/>
  </connection>
  <connection id="10" xr16:uid="{1E60AAE8-2209-4614-99C8-5F7D8BDA0847}" keepAlive="1" name="쿼리 - 일반고 경쟁률 현황 (4)" description="통합 문서의 '일반고 경쟁률 현황 (4)' 쿼리에 대한 연결입니다." type="5" refreshedVersion="6" background="1" saveData="1">
    <dbPr connection="Provider=Microsoft.Mashup.OleDb.1;Data Source=$Workbook$;Location=일반고 경쟁률 현황 (4);Extended Properties=&quot;&quot;" command="SELECT * FROM [일반고 경쟁률 현황 (4)]"/>
  </connection>
  <connection id="11" xr16:uid="{6829F04A-82A1-4445-8267-CFD3BAE658D7}" keepAlive="1" name="쿼리 - 전체 경쟁률 현황" description="통합 문서의 '전체 경쟁률 현황' 쿼리에 대한 연결입니다." type="5" refreshedVersion="6" background="1" saveData="1">
    <dbPr connection="Provider=Microsoft.Mashup.OleDb.1;Data Source=$Workbook$;Location=전체 경쟁률 현황;Extended Properties=&quot;&quot;" command="SELECT * FROM [전체 경쟁률 현황]"/>
  </connection>
  <connection id="12" xr16:uid="{CA875097-857C-4AC3-8499-12D90BC3E1F3}" keepAlive="1" name="쿼리 - 전체 경쟁률 현황 (2)" description="통합 문서의 '전체 경쟁률 현황 (2)' 쿼리에 대한 연결입니다." type="5" refreshedVersion="6" background="1" saveData="1">
    <dbPr connection="Provider=Microsoft.Mashup.OleDb.1;Data Source=$Workbook$;Location=전체 경쟁률 현황 (2);Extended Properties=&quot;&quot;" command="SELECT * FROM [전체 경쟁률 현황 (2)]"/>
  </connection>
  <connection id="13" xr16:uid="{9DDFABD1-94AA-4046-B206-CCB1D72F0362}" keepAlive="1" name="쿼리 - 전체 경쟁률 현황 (3)" description="통합 문서의 '전체 경쟁률 현황 (3)' 쿼리에 대한 연결입니다." type="5" refreshedVersion="6" background="1" saveData="1">
    <dbPr connection="Provider=Microsoft.Mashup.OleDb.1;Data Source=$Workbook$;Location=전체 경쟁률 현황 (3);Extended Properties=&quot;&quot;" command="SELECT * FROM [전체 경쟁률 현황 (3)]"/>
  </connection>
  <connection id="14" xr16:uid="{56696E1E-BF44-42B7-83AD-5EE1F7C583E3}" keepAlive="1" name="쿼리 - 전체 경쟁률 현황 (4)" description="통합 문서의 '전체 경쟁률 현황 (4)' 쿼리에 대한 연결입니다." type="5" refreshedVersion="6" background="1" saveData="1">
    <dbPr connection="Provider=Microsoft.Mashup.OleDb.1;Data Source=$Workbook$;Location=전체 경쟁률 현황 (4);Extended Properties=&quot;&quot;" command="SELECT * FROM [전체 경쟁률 현황 (4)]"/>
  </connection>
  <connection id="15" xr16:uid="{C6530BEC-ECC0-4FF8-9045-5D692EDF6AD9}" keepAlive="1" name="쿼리 - 전형별 경쟁률 현황" description="통합 문서의 '전형별 경쟁률 현황' 쿼리에 대한 연결입니다." type="5" refreshedVersion="6" background="1" saveData="1">
    <dbPr connection="Provider=Microsoft.Mashup.OleDb.1;Data Source=$Workbook$;Location=전형별 경쟁률 현황;Extended Properties=&quot;&quot;" command="SELECT * FROM [전형별 경쟁률 현황]"/>
  </connection>
  <connection id="16" xr16:uid="{E6A5863B-A131-4FBD-A6AC-D26E485D4919}" keepAlive="1" name="쿼리 - 전형별 경쟁률 현황 (2)" description="통합 문서의 '전형별 경쟁률 현황 (2)' 쿼리에 대한 연결입니다." type="5" refreshedVersion="6" background="1">
    <dbPr connection="Provider=Microsoft.Mashup.OleDb.1;Data Source=$Workbook$;Location=전형별 경쟁률 현황 (2);Extended Properties=&quot;&quot;" command="SELECT * FROM [전형별 경쟁률 현황 (2)]"/>
  </connection>
  <connection id="17" xr16:uid="{55228DEF-08D5-48C4-BD5F-D32A9D36626B}" keepAlive="1" name="쿼리 - 전형별 경쟁률 현황 (3)" description="통합 문서의 '전형별 경쟁률 현황 (3)' 쿼리에 대한 연결입니다." type="5" refreshedVersion="6" background="1" saveData="1">
    <dbPr connection="Provider=Microsoft.Mashup.OleDb.1;Data Source=$Workbook$;Location=전형별 경쟁률 현황 (3);Extended Properties=&quot;&quot;" command="SELECT * FROM [전형별 경쟁률 현황 (3)]"/>
  </connection>
  <connection id="18" xr16:uid="{9F1E1251-86DE-423C-88AA-3142EB7FA2D6}" name="쿼리 - 전형별 경쟁률 현황 (4)" description="통합 문서의 '전형별 경쟁률 현황 (4)' 쿼리에 대한 연결입니다." type="100" refreshedVersion="6" minRefreshableVersion="5">
    <extLst>
      <ext xmlns:x15="http://schemas.microsoft.com/office/spreadsheetml/2010/11/main" uri="{DE250136-89BD-433C-8126-D09CA5730AF9}">
        <x15:connection id="f5e4ecfd-ff86-41bc-8130-3d8c025a8bc6"/>
      </ext>
    </extLst>
  </connection>
  <connection id="19" xr16:uid="{E3B26AA9-C163-4926-BD31-3C211E037A5B}" keepAlive="1" name="쿼리 - 전형별 경쟁률 현황 (5)" description="통합 문서의 '전형별 경쟁률 현황 (5)' 쿼리에 대한 연결입니다." type="5" refreshedVersion="6" background="1" saveData="1">
    <dbPr connection="Provider=Microsoft.Mashup.OleDb.1;Data Source=$Workbook$;Location=전형별 경쟁률 현황 (5);Extended Properties=&quot;&quot;" command="SELECT * FROM [전형별 경쟁률 현황 (5)]"/>
  </connection>
  <connection id="20" xr16:uid="{A0C27911-1528-4FF3-B49C-7104869DFE2D}" keepAlive="1" name="쿼리 - 전형별 경쟁률 현황 (6)" description="통합 문서의 '전형별 경쟁률 현황 (6)' 쿼리에 대한 연결입니다." type="5" refreshedVersion="6" background="1" saveData="1">
    <dbPr connection="Provider=Microsoft.Mashup.OleDb.1;Data Source=$Workbook$;Location=전형별 경쟁률 현황 (6);Extended Properties=&quot;&quot;" command="SELECT * FROM [전형별 경쟁률 현황 (6)]"/>
  </connection>
  <connection id="21" xr16:uid="{6C53086F-E80E-4DEE-AB19-D7E74F5A9F75}" keepAlive="1" name="쿼리 - 전형별 경쟁률 현황 (7)" description="통합 문서의 '전형별 경쟁률 현황 (7)' 쿼리에 대한 연결입니다." type="5" refreshedVersion="6" background="1" saveData="1">
    <dbPr connection="Provider=Microsoft.Mashup.OleDb.1;Data Source=$Workbook$;Location=전형별 경쟁률 현황 (7);Extended Properties=&quot;&quot;" command="SELECT * FROM [전형별 경쟁률 현황 (7)]"/>
  </connection>
  <connection id="22" xr16:uid="{3760CBF3-810A-42C6-AA66-55E2DF9A1869}" keepAlive="1" name="쿼리 - 전형별 경쟁률 현황 (8)" description="통합 문서의 '전형별 경쟁률 현황 (8)' 쿼리에 대한 연결입니다." type="5" refreshedVersion="6" background="1" saveData="1">
    <dbPr connection="Provider=Microsoft.Mashup.OleDb.1;Data Source=$Workbook$;Location=전형별 경쟁률 현황 (8);Extended Properties=&quot;&quot;" command="SELECT * FROM [전형별 경쟁률 현황 (8)]"/>
  </connection>
  <connection id="23" xr16:uid="{AD4A8245-F845-48A4-B1BC-7D5AADD813F1}" keepAlive="1" name="쿼리 - 전형별 경쟁률 현황 (9)" description="통합 문서의 '전형별 경쟁률 현황 (9)' 쿼리에 대한 연결입니다." type="5" refreshedVersion="6" background="1" saveData="1">
    <dbPr connection="Provider=Microsoft.Mashup.OleDb.1;Data Source=$Workbook$;Location=전형별 경쟁률 현황 (9);Extended Properties=&quot;&quot;" command="SELECT * FROM [전형별 경쟁률 현황 (9)]"/>
  </connection>
  <connection id="24" xr16:uid="{06810FA3-FC07-4F7F-8CF6-0CE3A0CAEBD9}" keepAlive="1" name="쿼리 - 지원인원 현황(전문대졸, 북한이탈주민) 지원현황" description="통합 문서의 '지원인원 현황(전문대졸, 북한이탈주민) 지원현황' 쿼리에 대한 연결입니다." type="5" refreshedVersion="6" background="1">
    <dbPr connection="Provider=Microsoft.Mashup.OleDb.1;Data Source=$Workbook$;Location=지원인원 현황(전문대졸, 북한이탈주민) 지원현황;Extended Properties=&quot;&quot;" command="SELECT * FROM [지원인원 현황(전문대졸, 북한이탈주민) 지원현황]"/>
  </connection>
  <connection id="25" xr16:uid="{587D96A1-1467-4676-BBE2-8E135B2E1225}" name="쿼리 - 지원인원 현황(전문대졸, 북한이탈주민) 지원현황 (2)" description="통합 문서의 '지원인원 현황(전문대졸, 북한이탈주민) 지원현황 (2)' 쿼리에 대한 연결입니다." type="100" refreshedVersion="6" minRefreshableVersion="5">
    <extLst>
      <ext xmlns:x15="http://schemas.microsoft.com/office/spreadsheetml/2010/11/main" uri="{DE250136-89BD-433C-8126-D09CA5730AF9}">
        <x15:connection id="96f5a8a9-af49-41b6-a332-5d5f4bb11671"/>
      </ext>
    </extLst>
  </connection>
  <connection id="26" xr16:uid="{9A879A3B-56B8-4B4F-960E-7270729475F5}" keepAlive="1" name="쿼리 - 지원인원 현황(전문대졸, 북한이탈주민) 지원현황 (3)" description="통합 문서의 '지원인원 현황(전문대졸, 북한이탈주민) 지원현황 (3)' 쿼리에 대한 연결입니다." type="5" refreshedVersion="6" background="1" saveData="1">
    <dbPr connection="Provider=Microsoft.Mashup.OleDb.1;Data Source=$Workbook$;Location=지원인원 현황(전문대졸, 북한이탈주민) 지원현황 (3);Extended Properties=&quot;&quot;" command="SELECT * FROM [지원인원 현황(전문대졸, 북한이탈주민) 지원현황 (3)]"/>
  </connection>
  <connection id="27" xr16:uid="{9AC77E0B-5803-4D6D-85FA-02733AE0A2C7}" keepAlive="1" name="쿼리 - 특기자(어학) 경쟁률 현황" description="통합 문서의 '특기자(어학) 경쟁률 현황' 쿼리에 대한 연결입니다." type="5" refreshedVersion="6" background="1">
    <dbPr connection="Provider=Microsoft.Mashup.OleDb.1;Data Source=$Workbook$;Location=특기자(어학) 경쟁률 현황;Extended Properties=&quot;&quot;" command="SELECT * FROM [특기자(어학) 경쟁률 현황]"/>
  </connection>
  <connection id="28" xr16:uid="{A9A1AF18-2985-4047-8CB0-BAC9D3C5E088}" keepAlive="1" name="쿼리 - 특기자(어학) 경쟁률 현황 (2)" description="통합 문서의 '특기자(어학) 경쟁률 현황 (2)' 쿼리에 대한 연결입니다." type="5" refreshedVersion="6" background="1" saveData="1">
    <dbPr connection="Provider=Microsoft.Mashup.OleDb.1;Data Source=$Workbook$;Location=특기자(어학) 경쟁률 현황 (2);Extended Properties=&quot;&quot;" command="SELECT * FROM [특기자(어학) 경쟁률 현황 (2)]"/>
  </connection>
  <connection id="29" xr16:uid="{BA67054F-360B-467F-B44D-849F168D3E79}" keepAlive="1" name="쿼리 - 특성화고 경쟁률 현황" description="통합 문서의 '특성화고 경쟁률 현황' 쿼리에 대한 연결입니다." type="5" refreshedVersion="6" background="1">
    <dbPr connection="Provider=Microsoft.Mashup.OleDb.1;Data Source=$Workbook$;Location=특성화고 경쟁률 현황;Extended Properties=&quot;&quot;" command="SELECT * FROM [특성화고 경쟁률 현황]"/>
  </connection>
  <connection id="30" xr16:uid="{C5C973E3-661C-445B-B6A7-374141B246D7}" keepAlive="1" name="쿼리 - 특성화고 경쟁률 현황 (2)" description="통합 문서의 '특성화고 경쟁률 현황 (2)' 쿼리에 대한 연결입니다." type="5" refreshedVersion="6" background="1" saveData="1">
    <dbPr connection="Provider=Microsoft.Mashup.OleDb.1;Data Source=$Workbook$;Location=특성화고 경쟁률 현황 (2);Extended Properties=&quot;&quot;" command="SELECT * FROM [특성화고 경쟁률 현황 (2)]"/>
  </connection>
</connections>
</file>

<file path=xl/sharedStrings.xml><?xml version="1.0" encoding="utf-8"?>
<sst xmlns="http://schemas.openxmlformats.org/spreadsheetml/2006/main" count="1697" uniqueCount="373">
  <si>
    <r>
      <rPr>
        <b/>
        <sz val="11"/>
        <color theme="1"/>
        <rFont val="맑은 고딕"/>
        <family val="3"/>
        <charset val="129"/>
      </rPr>
      <t>●</t>
    </r>
    <r>
      <rPr>
        <b/>
        <sz val="11"/>
        <color theme="1"/>
        <rFont val="맑은 고딕"/>
        <family val="3"/>
        <charset val="129"/>
        <scheme val="minor"/>
      </rPr>
      <t xml:space="preserve"> 원서접수 결과표</t>
    </r>
    <r>
      <rPr>
        <sz val="8"/>
        <color theme="1"/>
        <rFont val="맑은 고딕"/>
        <family val="3"/>
        <charset val="129"/>
        <scheme val="minor"/>
      </rPr>
      <t>(정원내 모집 기준)</t>
    </r>
    <phoneticPr fontId="2" type="noConversion"/>
  </si>
  <si>
    <t>대학명</t>
    <phoneticPr fontId="2" type="noConversion"/>
  </si>
  <si>
    <t>입학정원</t>
    <phoneticPr fontId="2" type="noConversion"/>
  </si>
  <si>
    <t>모집인원</t>
    <phoneticPr fontId="2" type="noConversion"/>
  </si>
  <si>
    <t>지원자</t>
    <phoneticPr fontId="2" type="noConversion"/>
  </si>
  <si>
    <t>경쟁률</t>
    <phoneticPr fontId="2" type="noConversion"/>
  </si>
  <si>
    <t>정원내•외 전체</t>
    <phoneticPr fontId="2" type="noConversion"/>
  </si>
  <si>
    <t>증감</t>
    <phoneticPr fontId="2" type="noConversion"/>
  </si>
  <si>
    <t>인하공업전문대학</t>
    <phoneticPr fontId="2" type="noConversion"/>
  </si>
  <si>
    <t>동양미래대학교</t>
    <phoneticPr fontId="2" type="noConversion"/>
  </si>
  <si>
    <r>
      <t>한양여자대학교</t>
    </r>
    <r>
      <rPr>
        <vertAlign val="superscript"/>
        <sz val="9"/>
        <color rgb="FFFF0000"/>
        <rFont val="맑은 고딕"/>
        <family val="3"/>
        <charset val="129"/>
        <scheme val="minor"/>
      </rPr>
      <t>M</t>
    </r>
    <phoneticPr fontId="2" type="noConversion"/>
  </si>
  <si>
    <r>
      <t>동서울대학교</t>
    </r>
    <r>
      <rPr>
        <vertAlign val="superscript"/>
        <sz val="9"/>
        <color rgb="FFFF0000"/>
        <rFont val="맑은 고딕"/>
        <family val="3"/>
        <charset val="129"/>
        <scheme val="minor"/>
      </rPr>
      <t>M</t>
    </r>
    <phoneticPr fontId="2" type="noConversion"/>
  </si>
  <si>
    <r>
      <t>연성대학교</t>
    </r>
    <r>
      <rPr>
        <vertAlign val="superscript"/>
        <sz val="9"/>
        <color rgb="FFFF0000"/>
        <rFont val="맑은 고딕"/>
        <family val="3"/>
        <charset val="129"/>
        <scheme val="minor"/>
      </rPr>
      <t>M</t>
    </r>
    <phoneticPr fontId="2" type="noConversion"/>
  </si>
  <si>
    <t>부천대학교</t>
    <phoneticPr fontId="2" type="noConversion"/>
  </si>
  <si>
    <r>
      <t>대림대학교</t>
    </r>
    <r>
      <rPr>
        <vertAlign val="superscript"/>
        <sz val="9"/>
        <color rgb="FFFF0000"/>
        <rFont val="맑은 고딕"/>
        <family val="3"/>
        <charset val="129"/>
        <scheme val="minor"/>
      </rPr>
      <t>M</t>
    </r>
    <phoneticPr fontId="2" type="noConversion"/>
  </si>
  <si>
    <t>유한대학교</t>
    <phoneticPr fontId="2" type="noConversion"/>
  </si>
  <si>
    <r>
      <t>경인여자대학교</t>
    </r>
    <r>
      <rPr>
        <vertAlign val="superscript"/>
        <sz val="9"/>
        <color rgb="FFFF0000"/>
        <rFont val="맑은 고딕"/>
        <family val="3"/>
        <charset val="129"/>
        <scheme val="minor"/>
      </rPr>
      <t>M</t>
    </r>
    <phoneticPr fontId="2" type="noConversion"/>
  </si>
  <si>
    <r>
      <t>재능대학교</t>
    </r>
    <r>
      <rPr>
        <vertAlign val="superscript"/>
        <sz val="9"/>
        <color rgb="FFFF0000"/>
        <rFont val="맑은 고딕"/>
        <family val="3"/>
        <charset val="129"/>
        <scheme val="minor"/>
      </rPr>
      <t>M</t>
    </r>
    <phoneticPr fontId="2" type="noConversion"/>
  </si>
  <si>
    <r>
      <t>김포대학교</t>
    </r>
    <r>
      <rPr>
        <vertAlign val="superscript"/>
        <sz val="9"/>
        <color rgb="FFFF0000"/>
        <rFont val="맑은 고딕"/>
        <family val="3"/>
        <charset val="129"/>
        <scheme val="minor"/>
      </rPr>
      <t>M</t>
    </r>
    <phoneticPr fontId="2" type="noConversion"/>
  </si>
  <si>
    <r>
      <rPr>
        <b/>
        <sz val="11"/>
        <color theme="1"/>
        <rFont val="맑은 고딕"/>
        <family val="3"/>
        <charset val="129"/>
      </rPr>
      <t>●</t>
    </r>
    <r>
      <rPr>
        <b/>
        <sz val="11"/>
        <color theme="1"/>
        <rFont val="맑은 고딕"/>
        <family val="3"/>
        <charset val="129"/>
        <scheme val="minor"/>
      </rPr>
      <t xml:space="preserve"> 정원내</t>
    </r>
    <r>
      <rPr>
        <b/>
        <sz val="11"/>
        <color theme="1"/>
        <rFont val="맑은 고딕"/>
        <family val="3"/>
        <charset val="129"/>
      </rPr>
      <t>•외</t>
    </r>
    <r>
      <rPr>
        <b/>
        <sz val="11"/>
        <color theme="1"/>
        <rFont val="맑은 고딕"/>
        <family val="3"/>
        <charset val="129"/>
        <scheme val="minor"/>
      </rPr>
      <t xml:space="preserve"> 지원 현황</t>
    </r>
    <phoneticPr fontId="2" type="noConversion"/>
  </si>
  <si>
    <r>
      <rPr>
        <b/>
        <sz val="11"/>
        <color theme="1"/>
        <rFont val="맑은 고딕"/>
        <family val="3"/>
        <charset val="129"/>
      </rPr>
      <t>●</t>
    </r>
    <r>
      <rPr>
        <b/>
        <sz val="11"/>
        <color theme="1"/>
        <rFont val="맑은 고딕"/>
        <family val="3"/>
        <charset val="129"/>
        <scheme val="minor"/>
      </rPr>
      <t xml:space="preserve"> 경쟁률 상위 학과</t>
    </r>
    <r>
      <rPr>
        <sz val="8"/>
        <color theme="1"/>
        <rFont val="맑은 고딕"/>
        <family val="3"/>
        <charset val="129"/>
        <scheme val="minor"/>
      </rPr>
      <t>(일반고, 일반전형 기준)</t>
    </r>
    <phoneticPr fontId="2" type="noConversion"/>
  </si>
  <si>
    <t>학과(전공)명</t>
    <phoneticPr fontId="2" type="noConversion"/>
  </si>
  <si>
    <t>한양여자대학교</t>
    <phoneticPr fontId="2" type="noConversion"/>
  </si>
  <si>
    <t>동서울대학교</t>
    <phoneticPr fontId="2" type="noConversion"/>
  </si>
  <si>
    <t>연성대학교</t>
    <phoneticPr fontId="2" type="noConversion"/>
  </si>
  <si>
    <t>대림대학교</t>
    <phoneticPr fontId="2" type="noConversion"/>
  </si>
  <si>
    <r>
      <t>경인여자대학교</t>
    </r>
    <r>
      <rPr>
        <sz val="6"/>
        <color theme="1"/>
        <rFont val="맑은 고딕"/>
        <family val="3"/>
        <charset val="129"/>
        <scheme val="minor"/>
      </rPr>
      <t>(일반)</t>
    </r>
    <phoneticPr fontId="2" type="noConversion"/>
  </si>
  <si>
    <t>재능대학교</t>
    <phoneticPr fontId="2" type="noConversion"/>
  </si>
  <si>
    <t>김포대학교</t>
    <phoneticPr fontId="2" type="noConversion"/>
  </si>
  <si>
    <t>항공운항과, 패션디자인학과, 항공경영학과, 경영비서학과, 항공기계공학과, 스포츠헬스케어학과, 자동차공학과, 전기공학과, 조선기계공학과, 자유전공학부</t>
  </si>
  <si>
    <t>호텔관광학과, 시각디자인과, 소방안전관리과, 전기공학과, 경영학과</t>
  </si>
  <si>
    <t>아동보육과, 실무일본어과, 반려동물보건과, 실무중국어과, 자유전공학과</t>
  </si>
  <si>
    <t>디지털방송콘텐츠학과, 게임콘텐츠과, 항공서비스학과, 마케팅과, 호텔관광경영과</t>
  </si>
  <si>
    <t>항공서비스과, 치위생과, 뷰티스타일리스트과 메이크업전공, 뷰티스타일리스트과 헤어디자인전공, 반려동물보건과</t>
  </si>
  <si>
    <t>항공서비스과, 치위생학과, 뷰티케어과 헤어디자인전공, 뷰티케어과 뷰티디자인전공, 간호학과</t>
  </si>
  <si>
    <t>항공호텔관광과, 보건의료행정과, 응급구조과, 응용SW전공, 사무행정학과</t>
  </si>
  <si>
    <t>항공서비스학과, 애니메이션웹툰전공, 경영정보전공, 응급구조과, 호텔관광전공</t>
  </si>
  <si>
    <t>항공서비스학과, 치위생학과, 호텔관광학과, 응급구조학과, 사회복지학과</t>
  </si>
  <si>
    <t>간호학과, 항공서비스과, 보건의료행정과, 스포츠재활과, 드론영상과</t>
  </si>
  <si>
    <t>경영학과, 철도경영과, 자유전공학과, 사회복지과, 부동산과</t>
  </si>
  <si>
    <t>인하공업전문대학</t>
  </si>
  <si>
    <t>동양미래대학교</t>
  </si>
  <si>
    <t>한양여자대학교M</t>
  </si>
  <si>
    <t>동서울대학교M</t>
  </si>
  <si>
    <t>부천대학교</t>
  </si>
  <si>
    <t>대림대학교M</t>
  </si>
  <si>
    <t>유한대학교</t>
  </si>
  <si>
    <t>경인여자대학교M</t>
  </si>
  <si>
    <t>재능대학교M</t>
  </si>
  <si>
    <t>김포대학교M</t>
  </si>
  <si>
    <r>
      <rPr>
        <b/>
        <sz val="11"/>
        <color theme="1"/>
        <rFont val="맑은 고딕"/>
        <family val="3"/>
        <charset val="129"/>
      </rPr>
      <t>●</t>
    </r>
    <r>
      <rPr>
        <b/>
        <sz val="11"/>
        <color theme="1"/>
        <rFont val="맑은 고딕"/>
        <family val="3"/>
        <charset val="129"/>
        <scheme val="minor"/>
      </rPr>
      <t xml:space="preserve"> 일자별 원서접수 현황</t>
    </r>
    <phoneticPr fontId="2" type="noConversion"/>
  </si>
  <si>
    <r>
      <rPr>
        <b/>
        <sz val="11"/>
        <color theme="1"/>
        <rFont val="맑은 고딕"/>
        <family val="3"/>
        <charset val="129"/>
      </rPr>
      <t>●</t>
    </r>
    <r>
      <rPr>
        <b/>
        <sz val="11"/>
        <color theme="1"/>
        <rFont val="맑은 고딕"/>
        <family val="3"/>
        <charset val="129"/>
        <scheme val="minor"/>
      </rPr>
      <t xml:space="preserve"> 시간대 원서접수 현황</t>
    </r>
    <phoneticPr fontId="2" type="noConversion"/>
  </si>
  <si>
    <r>
      <rPr>
        <b/>
        <sz val="11"/>
        <color theme="1"/>
        <rFont val="맑은 고딕"/>
        <family val="3"/>
        <charset val="129"/>
      </rPr>
      <t>●</t>
    </r>
    <r>
      <rPr>
        <b/>
        <sz val="11"/>
        <color theme="1"/>
        <rFont val="맑은 고딕"/>
        <family val="3"/>
        <charset val="129"/>
        <scheme val="minor"/>
      </rPr>
      <t xml:space="preserve"> 학과별 원서접수 현황</t>
    </r>
    <phoneticPr fontId="2" type="noConversion"/>
  </si>
  <si>
    <t>모집인원</t>
  </si>
  <si>
    <t>경쟁률</t>
  </si>
  <si>
    <t>지원인원</t>
  </si>
  <si>
    <t>0.00 : 1</t>
  </si>
  <si>
    <t>북한이탈주민</t>
  </si>
  <si>
    <t>구분</t>
  </si>
  <si>
    <t>전형명</t>
  </si>
  <si>
    <t>전형명2</t>
  </si>
  <si>
    <t>정원내</t>
  </si>
  <si>
    <t>일반고</t>
  </si>
  <si>
    <t>498</t>
  </si>
  <si>
    <t>특성화고</t>
  </si>
  <si>
    <t>137</t>
  </si>
  <si>
    <t>특기자(어학)</t>
  </si>
  <si>
    <t>9</t>
  </si>
  <si>
    <t>소계</t>
  </si>
  <si>
    <t>644</t>
  </si>
  <si>
    <t>정원외</t>
  </si>
  <si>
    <t>농어촌</t>
  </si>
  <si>
    <t>30</t>
  </si>
  <si>
    <t>수급자</t>
  </si>
  <si>
    <t>53</t>
  </si>
  <si>
    <t>전문대졸 이상</t>
  </si>
  <si>
    <t>제한없음</t>
  </si>
  <si>
    <t>지원인원 총계</t>
  </si>
  <si>
    <t>https://ratio.uwayapply.com/SmZKOlZKZkNDYUxKLWZUZg==</t>
    <phoneticPr fontId="2" type="noConversion"/>
  </si>
  <si>
    <t>연성대학교M</t>
    <phoneticPr fontId="2" type="noConversion"/>
  </si>
  <si>
    <t>https://ratio.uwayapply.com/SmZKTSVDYDhWSmZDQ2FMSi1mVGY=</t>
    <phoneticPr fontId="2" type="noConversion"/>
  </si>
  <si>
    <t>https://ratio.uwayapply.com/SmZKVzh8OmJKZkNDYUxKLWZUZg==</t>
    <phoneticPr fontId="2" type="noConversion"/>
  </si>
  <si>
    <t>계열</t>
  </si>
  <si>
    <t>모집단위</t>
  </si>
  <si>
    <t>공학</t>
  </si>
  <si>
    <t>자유전공학부</t>
  </si>
  <si>
    <t>기계공학과</t>
  </si>
  <si>
    <t>기계설계공학과</t>
  </si>
  <si>
    <t>로봇자동화공학과</t>
  </si>
  <si>
    <t>반도체기계정비학과</t>
  </si>
  <si>
    <t>조선기계공학과</t>
  </si>
  <si>
    <t>항공기계공학과</t>
  </si>
  <si>
    <t>자동차공학과</t>
  </si>
  <si>
    <t>전기공학과</t>
  </si>
  <si>
    <t>전자공학과</t>
  </si>
  <si>
    <t>정보통신공학과</t>
  </si>
  <si>
    <t>컴퓨터정보공학과</t>
  </si>
  <si>
    <t>컴퓨터시스템공학과</t>
  </si>
  <si>
    <t>디지털마케팅공학과</t>
  </si>
  <si>
    <t>건설환경공학과</t>
  </si>
  <si>
    <t>공간정보빅데이터학과</t>
  </si>
  <si>
    <t>화학생명공학과</t>
  </si>
  <si>
    <t>재료공학과</t>
  </si>
  <si>
    <t>건축학과</t>
  </si>
  <si>
    <t>실내건축학과</t>
  </si>
  <si>
    <t>예체능</t>
  </si>
  <si>
    <t>산업디자인학과</t>
  </si>
  <si>
    <t>패션디자인학과</t>
  </si>
  <si>
    <t>인문사회</t>
  </si>
  <si>
    <t>항공운항과</t>
  </si>
  <si>
    <t>항공경영학과</t>
  </si>
  <si>
    <t>관광경영학과</t>
  </si>
  <si>
    <t>경영비서학과</t>
  </si>
  <si>
    <t>호텔경영학과</t>
  </si>
  <si>
    <t>물류시스템학과</t>
  </si>
  <si>
    <t>스포츠헬스케어학과</t>
  </si>
  <si>
    <t>총계</t>
  </si>
  <si>
    <t>학과</t>
  </si>
  <si>
    <t>최종</t>
    <phoneticPr fontId="2" type="noConversion"/>
  </si>
  <si>
    <t>2026학년도</t>
    <phoneticPr fontId="2" type="noConversion"/>
  </si>
  <si>
    <t>0.50 : 1</t>
  </si>
  <si>
    <t>0.02 : 1</t>
  </si>
  <si>
    <t>수급자</t>
    <phoneticPr fontId="2" type="noConversion"/>
  </si>
  <si>
    <t>농어촌</t>
    <phoneticPr fontId="2" type="noConversion"/>
  </si>
  <si>
    <t>일반</t>
    <phoneticPr fontId="2" type="noConversion"/>
  </si>
  <si>
    <t>전문대졸</t>
  </si>
  <si>
    <t>합계</t>
  </si>
  <si>
    <t>정원외</t>
    <phoneticPr fontId="2" type="noConversion"/>
  </si>
  <si>
    <t>0.25 : 1</t>
  </si>
  <si>
    <t>0.17 : 1</t>
  </si>
  <si>
    <t>전문대/북한이탈주민</t>
    <phoneticPr fontId="2" type="noConversion"/>
  </si>
  <si>
    <t>특성화고</t>
    <phoneticPr fontId="2" type="noConversion"/>
  </si>
  <si>
    <t>어학특기자</t>
    <phoneticPr fontId="2" type="noConversion"/>
  </si>
  <si>
    <t>세로 막대형1</t>
  </si>
  <si>
    <t>세로 막대형2</t>
  </si>
  <si>
    <t>일반고</t>
    <phoneticPr fontId="2" type="noConversion"/>
  </si>
  <si>
    <t>세로 막대형5</t>
  </si>
  <si>
    <t>0.33 : 1</t>
  </si>
  <si>
    <t>1.00 : 1</t>
  </si>
  <si>
    <t>0.67 : 1</t>
  </si>
  <si>
    <t>2.00 : 1</t>
  </si>
  <si>
    <t>https://addon.jinhakapply.com/RatioV1/RatioH/Ratio40580371.html</t>
    <phoneticPr fontId="2" type="noConversion"/>
  </si>
  <si>
    <t>일반고 전형</t>
  </si>
  <si>
    <t>특성화고 전형</t>
  </si>
  <si>
    <t>전문대학이상 졸업자 전형</t>
  </si>
  <si>
    <t>https://ratio.uwayapply.com/SmZKVzhNYU5ifEpmQ0NhTEotZlRm</t>
    <phoneticPr fontId="2" type="noConversion"/>
  </si>
  <si>
    <t>총모집인원</t>
  </si>
  <si>
    <t>정원 내</t>
  </si>
  <si>
    <t>정원 외</t>
  </si>
  <si>
    <t>https://ratio.uwayapply.com/SmZKclc6JldhYGJKZkNDYUxKLWZUZg==</t>
    <phoneticPr fontId="2" type="noConversion"/>
  </si>
  <si>
    <t>전형</t>
  </si>
  <si>
    <t>일반전형</t>
  </si>
  <si>
    <t>특별전형-일반고</t>
  </si>
  <si>
    <t>특별전형-특성화고</t>
  </si>
  <si>
    <t>대학자체</t>
  </si>
  <si>
    <t>정원내 소계</t>
  </si>
  <si>
    <t>기초수급 및 차상위</t>
  </si>
  <si>
    <t>전문대이상졸업자</t>
  </si>
  <si>
    <t>정원외 소계</t>
  </si>
  <si>
    <t>지원율</t>
  </si>
  <si>
    <t>모집전형</t>
  </si>
  <si>
    <t>206</t>
  </si>
  <si>
    <t>57</t>
  </si>
  <si>
    <t>263</t>
  </si>
  <si>
    <t>전문대학 이상 졸업자 전형</t>
  </si>
  <si>
    <t>-</t>
  </si>
  <si>
    <t>기초생활수급자 및 차상위계층 전형</t>
  </si>
  <si>
    <t>34</t>
  </si>
  <si>
    <t>외국인/북한이탈주민 전형</t>
  </si>
  <si>
    <t>재외국민 전형</t>
  </si>
  <si>
    <t>33</t>
  </si>
  <si>
    <t>재직자 전형(특성화고 등을 졸업한 재직자)</t>
  </si>
  <si>
    <t>88</t>
  </si>
  <si>
    <t>158</t>
  </si>
  <si>
    <t>421</t>
  </si>
  <si>
    <t>https://addon.jinhakapply.com/RatioV1/RatioH/Ratio40180641.html</t>
    <phoneticPr fontId="2" type="noConversion"/>
  </si>
  <si>
    <t>https://addon.jinhakapply.com/RatioV1/RatioH/Ratio41290851.html</t>
    <phoneticPr fontId="2" type="noConversion"/>
  </si>
  <si>
    <t>일반고전형</t>
  </si>
  <si>
    <t>특성화고전형</t>
  </si>
  <si>
    <t>실기전형</t>
  </si>
  <si>
    <t>[정원외] 전문대졸이상졸업자전형</t>
  </si>
  <si>
    <t>[정원외] 농어촌학생전형</t>
  </si>
  <si>
    <t>0.60 : 1</t>
  </si>
  <si>
    <t>1.33 : 1</t>
  </si>
  <si>
    <t>0.42 : 1</t>
  </si>
  <si>
    <t>1.25 : 1</t>
  </si>
  <si>
    <t>1.50 : 1</t>
  </si>
  <si>
    <t>0.80 : 1</t>
  </si>
  <si>
    <t>일자</t>
    <phoneticPr fontId="2" type="noConversion"/>
  </si>
  <si>
    <t>일반
계열</t>
    <phoneticPr fontId="2" type="noConversion"/>
  </si>
  <si>
    <t>세로 막대형6</t>
  </si>
  <si>
    <t>세로 막대형7</t>
  </si>
  <si>
    <t>세로 막대형8</t>
  </si>
  <si>
    <t>세로 막대형9</t>
  </si>
  <si>
    <t>세로 막대형10</t>
  </si>
  <si>
    <t>세로 막대형11</t>
  </si>
  <si>
    <t>세로 막대형12</t>
  </si>
  <si>
    <t>세로 막대형13</t>
  </si>
  <si>
    <t>세로 막대형14</t>
  </si>
  <si>
    <t>세로 막대형15</t>
  </si>
  <si>
    <t>세로 막대형16</t>
  </si>
  <si>
    <t>세로 막대형17</t>
  </si>
  <si>
    <t>세로 막대형18</t>
  </si>
  <si>
    <t>세로 막대형19</t>
  </si>
  <si>
    <t>세로 막대형20</t>
  </si>
  <si>
    <t>2024학년도</t>
  </si>
  <si>
    <t>2025학년도</t>
  </si>
  <si>
    <t>일자별 누계</t>
  </si>
  <si>
    <t>최종</t>
  </si>
  <si>
    <t>2026학년도2</t>
  </si>
  <si>
    <t>증감</t>
  </si>
  <si>
    <t>전년 최종대비</t>
  </si>
  <si>
    <t>0.94 : 1</t>
  </si>
  <si>
    <t>0.38 : 1</t>
  </si>
  <si>
    <t>https://addon.jinhakapply.com/RatioV1/RatioH/Ratio41260471.html</t>
    <phoneticPr fontId="2" type="noConversion"/>
  </si>
  <si>
    <t>-</t>
    <phoneticPr fontId="2" type="noConversion"/>
  </si>
  <si>
    <t>모집단위</t>
    <phoneticPr fontId="2" type="noConversion"/>
  </si>
  <si>
    <t>정원외</t>
    <phoneticPr fontId="2" type="noConversion"/>
  </si>
  <si>
    <t>농어촌</t>
    <phoneticPr fontId="2" type="noConversion"/>
  </si>
  <si>
    <t>수급자</t>
    <phoneticPr fontId="2" type="noConversion"/>
  </si>
  <si>
    <t>전문대</t>
    <phoneticPr fontId="2" type="noConversion"/>
  </si>
  <si>
    <t>북한이탈주민</t>
    <phoneticPr fontId="2" type="noConversion"/>
  </si>
  <si>
    <t>모집인원2</t>
  </si>
  <si>
    <t>지원인원3</t>
  </si>
  <si>
    <t>지원인원4</t>
  </si>
  <si>
    <t>지원인원5</t>
  </si>
  <si>
    <t>https://info.kimpo.ac.kr/Smart/Ent/Entrance/S/SISS10P.aspx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</si>
  <si>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</si>
  <si>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</si>
  <si>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</si>
  <si>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</si>
  <si>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</si>
  <si>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</si>
  <si>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</si>
  <si>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</si>
  <si>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</si>
  <si>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</si>
  <si>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</si>
  <si>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</si>
  <si>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</si>
  <si>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</si>
  <si>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</si>
  <si>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</si>
  <si>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</si>
  <si>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계열없음</t>
  </si>
  <si>
    <t>유아교육과(3)★</t>
  </si>
  <si>
    <t>1</t>
  </si>
  <si>
    <t>1.00</t>
  </si>
  <si>
    <t>2</t>
  </si>
  <si>
    <t>미래융합계열_x000D_
(모집인원:16명)</t>
  </si>
  <si>
    <t>실용음악과(3)★◈</t>
  </si>
  <si>
    <t>15</t>
  </si>
  <si>
    <t>보건행정과(3)★</t>
  </si>
  <si>
    <t>2.00</t>
  </si>
  <si>
    <t>게임콘텐츠과(3)</t>
  </si>
  <si>
    <t>창의융합계열_x000D_
(모집인원:53명)</t>
  </si>
  <si>
    <t>글로벌실용무용과★◈</t>
  </si>
  <si>
    <t>10</t>
  </si>
  <si>
    <t>레저스포츠과★◈</t>
  </si>
  <si>
    <t>20</t>
  </si>
  <si>
    <t>태권도융합과★◈</t>
  </si>
  <si>
    <t>7</t>
  </si>
  <si>
    <t>무도경호과</t>
  </si>
  <si>
    <t>연기과</t>
  </si>
  <si>
    <t>유튜브크리에이터과</t>
  </si>
  <si>
    <t>융합전공학과</t>
  </si>
  <si>
    <t>AI융합학과_x000D_
(외국인전담학과)★</t>
  </si>
  <si>
    <t>너싱케어학과_x000D_
(외국인전담학과)</t>
  </si>
  <si>
    <t>혁신융합계열_x000D_
(모집인원:1명)</t>
  </si>
  <si>
    <t>뷰티아트과</t>
  </si>
  <si>
    <t>4</t>
  </si>
  <si>
    <t>5</t>
  </si>
  <si>
    <t>0.20</t>
  </si>
  <si>
    <t>호텔제과제빵과</t>
  </si>
  <si>
    <t>경찰행정과</t>
  </si>
  <si>
    <t>8</t>
  </si>
  <si>
    <t>사회복지과</t>
  </si>
  <si>
    <t>아동보육과★</t>
  </si>
  <si>
    <t>철도경영과</t>
  </si>
  <si>
    <t>부동산과</t>
  </si>
  <si>
    <t>자유전공학과</t>
  </si>
  <si>
    <t>합 계</t>
  </si>
  <si>
    <t>69</t>
  </si>
  <si>
    <t>3</t>
  </si>
  <si>
    <t>1.50</t>
  </si>
  <si>
    <t>0.13</t>
  </si>
  <si>
    <t>0.75 : 1</t>
  </si>
  <si>
    <r>
      <rPr>
        <b/>
        <sz val="11"/>
        <color theme="1"/>
        <rFont val="맑은 고딕"/>
        <family val="3"/>
        <charset val="129"/>
      </rPr>
      <t>●</t>
    </r>
    <r>
      <rPr>
        <b/>
        <sz val="11"/>
        <color theme="1"/>
        <rFont val="맑은 고딕"/>
        <family val="3"/>
        <charset val="129"/>
        <scheme val="minor"/>
      </rPr>
      <t xml:space="preserve"> 지역별 지원 현황</t>
    </r>
    <phoneticPr fontId="2" type="noConversion"/>
  </si>
  <si>
    <t>https://ratio.uwayapply.com/SmZKTEJKZkNDYUxKLWZUZg==</t>
    <phoneticPr fontId="2" type="noConversion"/>
  </si>
  <si>
    <t>정원 내 특별전형</t>
  </si>
  <si>
    <t>특기자</t>
  </si>
  <si>
    <t>정원 내 특별전형 소계</t>
  </si>
  <si>
    <t>정원 외 특별전형</t>
  </si>
  <si>
    <t>수급자 및 차상위</t>
  </si>
  <si>
    <t>전문대이상 졸업자</t>
  </si>
  <si>
    <t>정원 외 특별전형 소계</t>
  </si>
  <si>
    <t>전년 대비 증감</t>
    <phoneticPr fontId="2" type="noConversion"/>
  </si>
  <si>
    <t>12</t>
  </si>
  <si>
    <t>1.23 : 1</t>
  </si>
  <si>
    <t>1.20 : 1</t>
  </si>
  <si>
    <t>1.41 : 1</t>
  </si>
  <si>
    <t>3.00 : 1</t>
  </si>
  <si>
    <t>1.04 : 1</t>
  </si>
  <si>
    <t>1.17 : 1</t>
  </si>
  <si>
    <t>0.57 : 1</t>
  </si>
  <si>
    <t>1.11 : 1</t>
  </si>
  <si>
    <t>0.07</t>
  </si>
  <si>
    <t>1.56 : 1</t>
  </si>
  <si>
    <t>0.61 : 1</t>
  </si>
  <si>
    <t>1.22 : 1</t>
  </si>
  <si>
    <t>0.83 : 1</t>
  </si>
  <si>
    <t>2.20 : 1</t>
  </si>
  <si>
    <t>2.40 : 1</t>
  </si>
  <si>
    <t>1.80 : 1</t>
  </si>
  <si>
    <t>4.00 : 1</t>
  </si>
  <si>
    <t>일반고</t>
    <phoneticPr fontId="2" type="noConversion"/>
  </si>
  <si>
    <t>특성화고</t>
    <phoneticPr fontId="2" type="noConversion"/>
  </si>
  <si>
    <t>모집인원22</t>
  </si>
  <si>
    <t>지원인원33</t>
  </si>
  <si>
    <t>총합계</t>
    <phoneticPr fontId="2" type="noConversion"/>
  </si>
  <si>
    <t>정원내</t>
    <phoneticPr fontId="2" type="noConversion"/>
  </si>
  <si>
    <t>구분</t>
    <phoneticPr fontId="2" type="noConversion"/>
  </si>
  <si>
    <t>일반
계열</t>
  </si>
  <si>
    <t>일자</t>
  </si>
  <si>
    <t>2026학년도</t>
  </si>
  <si>
    <t>아직</t>
  </si>
  <si>
    <t>1.29</t>
  </si>
  <si>
    <t>0.84 : 1</t>
  </si>
  <si>
    <t>0.97 : 1</t>
  </si>
  <si>
    <t>0.89 : 1</t>
  </si>
  <si>
    <t>5.33 : 1</t>
  </si>
  <si>
    <t>1.15 : 1</t>
  </si>
  <si>
    <t>1.28 : 1</t>
  </si>
  <si>
    <t>0.73 : 1</t>
  </si>
  <si>
    <t>5.00</t>
  </si>
  <si>
    <t>34.00</t>
  </si>
  <si>
    <t>1.36 : 1</t>
  </si>
  <si>
    <t>1.78 : 1</t>
  </si>
  <si>
    <t>0.56 : 1</t>
  </si>
  <si>
    <t>1.45 : 1</t>
  </si>
  <si>
    <t>1.83 : 1</t>
  </si>
  <si>
    <t>16</t>
  </si>
  <si>
    <t>0.80</t>
  </si>
  <si>
    <t>77</t>
  </si>
  <si>
    <t>1.12</t>
  </si>
  <si>
    <t>0.79 : 1</t>
  </si>
  <si>
    <t>0.21 : 1</t>
  </si>
  <si>
    <t>1.54 : 1</t>
  </si>
  <si>
    <t>2.12 : 1</t>
  </si>
  <si>
    <t>4.77 : 1</t>
  </si>
  <si>
    <t>0.93 : 1</t>
  </si>
  <si>
    <t>0.48 : 1</t>
  </si>
  <si>
    <t>0.47 : 1</t>
  </si>
  <si>
    <t>2.44 : 1</t>
  </si>
  <si>
    <t>1.19 : 1</t>
  </si>
  <si>
    <t>0.72 : 1</t>
  </si>
  <si>
    <t>0.37 : 1</t>
  </si>
  <si>
    <t>0.31 : 1</t>
  </si>
  <si>
    <t>1.58 : 1</t>
  </si>
  <si>
    <t>3.80 : 1</t>
  </si>
  <si>
    <t>1.63 : 1</t>
  </si>
  <si>
    <t>3.20 : 1</t>
  </si>
  <si>
    <t>6.33 : 1</t>
  </si>
  <si>
    <t>2.75 : 1</t>
  </si>
  <si>
    <t>2.25 : 1</t>
  </si>
  <si>
    <t>1.39 : 1</t>
  </si>
  <si>
    <t>1.49 : 1</t>
  </si>
  <si>
    <t>2.30 : 1</t>
  </si>
  <si>
    <t>1.91 : 1</t>
  </si>
  <si>
    <t>1.86 : 1</t>
  </si>
  <si>
    <t>1.21 : 1</t>
  </si>
  <si>
    <t>8.00 : 1</t>
  </si>
  <si>
    <t>2.67 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</si>
</sst>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176" formatCode="#,##0_);[Red]\(#,##0\)"/>
    <numFmt numFmtId="177" formatCode="_-* #,##0.0_-;\-* #,##0.0_-;_-* &quot;-&quot;_-;_-@_-"/>
    <numFmt numFmtId="178" formatCode="_-* #,##0.00_-;\-* #,##0.00_-;_-* &quot;-&quot;_-;_-@_-"/>
    <numFmt numFmtId="179" formatCode="#,##0.0_);[Red]\(#,##0.0\)"/>
    <numFmt numFmtId="180" formatCode="[Red]\-#,##0;[Black]#,##0;[Black]0"/>
    <numFmt numFmtId="181" formatCode="[Red]\-#.#0;[Black]#.#0;[Black]0"/>
    <numFmt numFmtId="182" formatCode="#,##0.0_ "/>
    <numFmt numFmtId="183" formatCode="#,##0.00_ "/>
    <numFmt numFmtId="184" formatCode="0_ 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rgb="FF002060"/>
      <name val="맑은 고딕"/>
      <family val="3"/>
      <charset val="129"/>
      <scheme val="minor"/>
    </font>
    <font>
      <vertAlign val="superscript"/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5.5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7"/>
      <color theme="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  <font>
      <sz val="8"/>
      <color rgb="FF000000"/>
      <name val="나눔고딕"/>
      <family val="3"/>
      <charset val="129"/>
    </font>
    <font>
      <sz val="8"/>
      <color rgb="FF000000"/>
      <name val="맑은 고딕"/>
      <family val="3"/>
      <charset val="129"/>
      <scheme val="minor"/>
    </font>
    <font>
      <sz val="10"/>
      <color rgb="FF000000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5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 style="double">
        <color theme="9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9"/>
      </left>
      <right style="slantDashDot">
        <color rgb="FF00B050"/>
      </right>
      <top style="medium">
        <color indexed="64"/>
      </top>
      <bottom/>
      <diagonal/>
    </border>
    <border>
      <left style="thin">
        <color indexed="64"/>
      </left>
      <right style="slantDashDot">
        <color rgb="FF00B05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rgb="FF00B050"/>
      </right>
      <top style="thin">
        <color indexed="64"/>
      </top>
      <bottom/>
      <diagonal/>
    </border>
    <border>
      <left style="thin">
        <color indexed="64"/>
      </left>
      <right style="slantDashDot">
        <color rgb="FF00B05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slantDashDot">
        <color rgb="FF00B05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rgb="FF00B050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/>
  </cellStyleXfs>
  <cellXfs count="214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6" fillId="3" borderId="2" xfId="0" applyFont="1" applyFill="1" applyBorder="1">
      <alignment vertical="center"/>
    </xf>
    <xf numFmtId="0" fontId="6" fillId="3" borderId="6" xfId="0" applyFont="1" applyFill="1" applyBorder="1">
      <alignment vertical="center"/>
    </xf>
    <xf numFmtId="0" fontId="6" fillId="3" borderId="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41" fontId="6" fillId="0" borderId="2" xfId="1" applyFont="1" applyBorder="1" applyAlignment="1">
      <alignment horizontal="left" vertical="center"/>
    </xf>
    <xf numFmtId="41" fontId="7" fillId="0" borderId="2" xfId="1" applyFont="1" applyBorder="1" applyAlignment="1">
      <alignment horizontal="right" vertical="center"/>
    </xf>
    <xf numFmtId="41" fontId="8" fillId="0" borderId="2" xfId="1" applyFont="1" applyBorder="1">
      <alignment vertical="center"/>
    </xf>
    <xf numFmtId="0" fontId="6" fillId="4" borderId="6" xfId="0" applyFont="1" applyFill="1" applyBorder="1" applyAlignment="1">
      <alignment horizontal="left" vertical="center"/>
    </xf>
    <xf numFmtId="41" fontId="6" fillId="4" borderId="2" xfId="1" applyFont="1" applyFill="1" applyBorder="1" applyAlignment="1">
      <alignment horizontal="left" vertical="center"/>
    </xf>
    <xf numFmtId="41" fontId="7" fillId="4" borderId="2" xfId="1" applyFont="1" applyFill="1" applyBorder="1">
      <alignment vertical="center"/>
    </xf>
    <xf numFmtId="41" fontId="8" fillId="4" borderId="2" xfId="1" applyFont="1" applyFill="1" applyBorder="1">
      <alignment vertical="center"/>
    </xf>
    <xf numFmtId="41" fontId="7" fillId="0" borderId="2" xfId="1" applyFont="1" applyBorder="1">
      <alignment vertical="center"/>
    </xf>
    <xf numFmtId="0" fontId="3" fillId="0" borderId="0" xfId="0" applyFont="1" applyFill="1" applyBorder="1" applyAlignment="1">
      <alignment horizontal="left" vertical="center"/>
    </xf>
    <xf numFmtId="0" fontId="0" fillId="0" borderId="2" xfId="0" applyBorder="1">
      <alignment vertical="center"/>
    </xf>
    <xf numFmtId="0" fontId="10" fillId="5" borderId="6" xfId="0" applyFont="1" applyFill="1" applyBorder="1">
      <alignment vertical="center"/>
    </xf>
    <xf numFmtId="0" fontId="6" fillId="5" borderId="2" xfId="0" applyFont="1" applyFill="1" applyBorder="1">
      <alignment vertical="center"/>
    </xf>
    <xf numFmtId="0" fontId="15" fillId="0" borderId="0" xfId="2">
      <alignment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41" fontId="6" fillId="0" borderId="2" xfId="1" applyFont="1" applyBorder="1" applyAlignment="1">
      <alignment horizontal="center" vertical="center"/>
    </xf>
    <xf numFmtId="176" fontId="6" fillId="0" borderId="2" xfId="1" applyNumberFormat="1" applyFont="1" applyBorder="1" applyAlignment="1">
      <alignment horizontal="center" vertical="center"/>
    </xf>
    <xf numFmtId="41" fontId="6" fillId="0" borderId="2" xfId="1" applyFont="1" applyBorder="1">
      <alignment vertical="center"/>
    </xf>
    <xf numFmtId="178" fontId="6" fillId="0" borderId="2" xfId="1" applyNumberFormat="1" applyFont="1" applyBorder="1">
      <alignment vertical="center"/>
    </xf>
    <xf numFmtId="177" fontId="6" fillId="0" borderId="2" xfId="1" applyNumberFormat="1" applyFont="1" applyBorder="1">
      <alignment vertical="center"/>
    </xf>
    <xf numFmtId="179" fontId="6" fillId="0" borderId="3" xfId="1" applyNumberFormat="1" applyFont="1" applyBorder="1" applyAlignment="1">
      <alignment horizontal="center" vertical="center"/>
    </xf>
    <xf numFmtId="41" fontId="6" fillId="0" borderId="6" xfId="1" applyFont="1" applyBorder="1">
      <alignment vertical="center"/>
    </xf>
    <xf numFmtId="176" fontId="6" fillId="0" borderId="7" xfId="1" applyNumberFormat="1" applyFont="1" applyBorder="1" applyAlignment="1">
      <alignment horizontal="center" vertical="center"/>
    </xf>
    <xf numFmtId="41" fontId="6" fillId="4" borderId="2" xfId="1" applyFont="1" applyFill="1" applyBorder="1" applyAlignment="1">
      <alignment horizontal="center" vertical="center"/>
    </xf>
    <xf numFmtId="176" fontId="6" fillId="4" borderId="2" xfId="1" applyNumberFormat="1" applyFont="1" applyFill="1" applyBorder="1" applyAlignment="1">
      <alignment horizontal="center" vertical="center"/>
    </xf>
    <xf numFmtId="41" fontId="6" fillId="4" borderId="2" xfId="1" applyFont="1" applyFill="1" applyBorder="1">
      <alignment vertical="center"/>
    </xf>
    <xf numFmtId="178" fontId="6" fillId="4" borderId="2" xfId="1" applyNumberFormat="1" applyFont="1" applyFill="1" applyBorder="1">
      <alignment vertical="center"/>
    </xf>
    <xf numFmtId="177" fontId="6" fillId="4" borderId="2" xfId="1" applyNumberFormat="1" applyFont="1" applyFill="1" applyBorder="1">
      <alignment vertical="center"/>
    </xf>
    <xf numFmtId="179" fontId="6" fillId="4" borderId="3" xfId="1" applyNumberFormat="1" applyFont="1" applyFill="1" applyBorder="1" applyAlignment="1">
      <alignment horizontal="center" vertical="center"/>
    </xf>
    <xf numFmtId="41" fontId="6" fillId="4" borderId="6" xfId="1" applyFont="1" applyFill="1" applyBorder="1">
      <alignment vertical="center"/>
    </xf>
    <xf numFmtId="176" fontId="6" fillId="4" borderId="7" xfId="1" applyNumberFormat="1" applyFont="1" applyFill="1" applyBorder="1" applyAlignment="1">
      <alignment horizontal="center" vertical="center"/>
    </xf>
    <xf numFmtId="0" fontId="0" fillId="6" borderId="0" xfId="0" applyFill="1">
      <alignment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0" fillId="0" borderId="9" xfId="0" applyFont="1" applyBorder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10" xfId="0" applyNumberFormat="1" applyFont="1" applyBorder="1" applyAlignment="1">
      <alignment horizontal="center" vertical="center"/>
    </xf>
    <xf numFmtId="14" fontId="0" fillId="0" borderId="11" xfId="0" applyNumberFormat="1" applyFont="1" applyBorder="1" applyAlignment="1">
      <alignment horizontal="center" vertical="center"/>
    </xf>
    <xf numFmtId="0" fontId="0" fillId="7" borderId="2" xfId="0" applyFill="1" applyBorder="1">
      <alignment vertical="center"/>
    </xf>
    <xf numFmtId="0" fontId="18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right" vertical="center"/>
    </xf>
    <xf numFmtId="183" fontId="0" fillId="0" borderId="0" xfId="0" applyNumberFormat="1" applyAlignment="1">
      <alignment horizontal="right" vertical="center"/>
    </xf>
    <xf numFmtId="184" fontId="0" fillId="0" borderId="0" xfId="0" applyNumberFormat="1">
      <alignment vertical="center"/>
    </xf>
    <xf numFmtId="180" fontId="6" fillId="0" borderId="2" xfId="1" applyNumberFormat="1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41" fontId="6" fillId="0" borderId="2" xfId="1" applyFont="1" applyBorder="1" applyAlignment="1">
      <alignment horizontal="right" vertical="center"/>
    </xf>
    <xf numFmtId="180" fontId="6" fillId="4" borderId="2" xfId="1" applyNumberFormat="1" applyFont="1" applyFill="1" applyBorder="1" applyAlignment="1">
      <alignment horizontal="right" vertical="center"/>
    </xf>
    <xf numFmtId="177" fontId="6" fillId="0" borderId="2" xfId="1" applyNumberFormat="1" applyFont="1" applyBorder="1" applyAlignment="1">
      <alignment horizontal="right" vertical="center"/>
    </xf>
    <xf numFmtId="178" fontId="6" fillId="0" borderId="2" xfId="1" applyNumberFormat="1" applyFont="1" applyBorder="1" applyAlignment="1">
      <alignment horizontal="right" vertical="center"/>
    </xf>
    <xf numFmtId="182" fontId="6" fillId="0" borderId="7" xfId="1" applyNumberFormat="1" applyFont="1" applyBorder="1" applyAlignment="1">
      <alignment horizontal="right" vertical="center"/>
    </xf>
    <xf numFmtId="181" fontId="6" fillId="4" borderId="2" xfId="1" applyNumberFormat="1" applyFont="1" applyFill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8" fillId="0" borderId="2" xfId="1" applyFont="1" applyBorder="1" applyAlignment="1">
      <alignment horizontal="right" vertical="center"/>
    </xf>
    <xf numFmtId="176" fontId="6" fillId="0" borderId="7" xfId="1" applyNumberFormat="1" applyFont="1" applyBorder="1" applyAlignment="1">
      <alignment horizontal="right" vertical="center"/>
    </xf>
    <xf numFmtId="41" fontId="6" fillId="4" borderId="2" xfId="1" applyFont="1" applyFill="1" applyBorder="1" applyAlignment="1">
      <alignment horizontal="right" vertical="center"/>
    </xf>
    <xf numFmtId="41" fontId="7" fillId="4" borderId="2" xfId="1" applyFont="1" applyFill="1" applyBorder="1" applyAlignment="1">
      <alignment horizontal="right" vertical="center"/>
    </xf>
    <xf numFmtId="177" fontId="6" fillId="4" borderId="2" xfId="1" applyNumberFormat="1" applyFont="1" applyFill="1" applyBorder="1" applyAlignment="1">
      <alignment horizontal="right" vertical="center"/>
    </xf>
    <xf numFmtId="178" fontId="6" fillId="4" borderId="2" xfId="1" applyNumberFormat="1" applyFont="1" applyFill="1" applyBorder="1" applyAlignment="1">
      <alignment horizontal="right" vertical="center"/>
    </xf>
    <xf numFmtId="182" fontId="6" fillId="4" borderId="7" xfId="1" applyNumberFormat="1" applyFont="1" applyFill="1" applyBorder="1" applyAlignment="1">
      <alignment horizontal="right" vertical="center"/>
    </xf>
    <xf numFmtId="41" fontId="6" fillId="4" borderId="6" xfId="1" applyFont="1" applyFill="1" applyBorder="1" applyAlignment="1">
      <alignment horizontal="right" vertical="center"/>
    </xf>
    <xf numFmtId="41" fontId="8" fillId="4" borderId="2" xfId="1" applyFont="1" applyFill="1" applyBorder="1" applyAlignment="1">
      <alignment horizontal="right" vertical="center"/>
    </xf>
    <xf numFmtId="176" fontId="6" fillId="4" borderId="7" xfId="1" applyNumberFormat="1" applyFont="1" applyFill="1" applyBorder="1" applyAlignment="1">
      <alignment horizontal="right" vertical="center"/>
    </xf>
    <xf numFmtId="0" fontId="6" fillId="3" borderId="14" xfId="0" applyFont="1" applyFill="1" applyBorder="1" applyAlignment="1">
      <alignment horizontal="center" vertical="center"/>
    </xf>
    <xf numFmtId="41" fontId="6" fillId="0" borderId="6" xfId="1" applyFont="1" applyBorder="1" applyAlignment="1">
      <alignment horizontal="left" vertical="center"/>
    </xf>
    <xf numFmtId="41" fontId="6" fillId="4" borderId="6" xfId="1" applyFont="1" applyFill="1" applyBorder="1" applyAlignment="1">
      <alignment horizontal="left" vertical="center"/>
    </xf>
    <xf numFmtId="0" fontId="6" fillId="3" borderId="25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left" vertical="center"/>
    </xf>
    <xf numFmtId="180" fontId="6" fillId="4" borderId="25" xfId="1" applyNumberFormat="1" applyFont="1" applyFill="1" applyBorder="1" applyAlignment="1">
      <alignment horizontal="right" vertical="center"/>
    </xf>
    <xf numFmtId="0" fontId="6" fillId="4" borderId="26" xfId="0" applyFont="1" applyFill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41" fontId="6" fillId="0" borderId="28" xfId="1" applyFont="1" applyBorder="1" applyAlignment="1">
      <alignment horizontal="left" vertical="center"/>
    </xf>
    <xf numFmtId="41" fontId="6" fillId="0" borderId="29" xfId="1" applyFont="1" applyBorder="1" applyAlignment="1">
      <alignment horizontal="center" vertical="center"/>
    </xf>
    <xf numFmtId="41" fontId="6" fillId="0" borderId="28" xfId="1" applyFont="1" applyBorder="1" applyAlignment="1">
      <alignment horizontal="right" vertical="center"/>
    </xf>
    <xf numFmtId="41" fontId="8" fillId="0" borderId="29" xfId="1" applyFont="1" applyBorder="1" applyAlignment="1">
      <alignment horizontal="right" vertical="center"/>
    </xf>
    <xf numFmtId="180" fontId="6" fillId="4" borderId="33" xfId="1" applyNumberFormat="1" applyFont="1" applyFill="1" applyBorder="1" applyAlignment="1">
      <alignment horizontal="right" vertical="center"/>
    </xf>
    <xf numFmtId="0" fontId="3" fillId="6" borderId="0" xfId="0" applyFont="1" applyFill="1" applyBorder="1" applyAlignment="1">
      <alignment horizontal="left" vertical="center"/>
    </xf>
    <xf numFmtId="41" fontId="21" fillId="0" borderId="2" xfId="1" applyFont="1" applyBorder="1" applyAlignment="1">
      <alignment horizontal="right" vertical="center"/>
    </xf>
    <xf numFmtId="180" fontId="21" fillId="4" borderId="2" xfId="1" applyNumberFormat="1" applyFont="1" applyFill="1" applyBorder="1" applyAlignment="1">
      <alignment horizontal="right" vertical="center"/>
    </xf>
    <xf numFmtId="41" fontId="22" fillId="0" borderId="2" xfId="1" applyFont="1" applyBorder="1" applyAlignment="1">
      <alignment horizontal="right" vertical="center"/>
    </xf>
    <xf numFmtId="180" fontId="21" fillId="4" borderId="3" xfId="1" applyNumberFormat="1" applyFont="1" applyFill="1" applyBorder="1" applyAlignment="1">
      <alignment horizontal="right" vertical="center"/>
    </xf>
    <xf numFmtId="177" fontId="21" fillId="0" borderId="14" xfId="1" applyNumberFormat="1" applyFont="1" applyBorder="1" applyAlignment="1">
      <alignment horizontal="right" vertical="center"/>
    </xf>
    <xf numFmtId="178" fontId="21" fillId="0" borderId="2" xfId="1" applyNumberFormat="1" applyFont="1" applyBorder="1" applyAlignment="1">
      <alignment horizontal="right" vertical="center"/>
    </xf>
    <xf numFmtId="181" fontId="21" fillId="4" borderId="3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horizontal="right" vertical="center"/>
    </xf>
    <xf numFmtId="180" fontId="21" fillId="4" borderId="25" xfId="1" applyNumberFormat="1" applyFont="1" applyFill="1" applyBorder="1" applyAlignment="1">
      <alignment horizontal="right" vertical="center"/>
    </xf>
    <xf numFmtId="41" fontId="21" fillId="4" borderId="2" xfId="1" applyFont="1" applyFill="1" applyBorder="1" applyAlignment="1">
      <alignment horizontal="right" vertical="center"/>
    </xf>
    <xf numFmtId="41" fontId="22" fillId="4" borderId="2" xfId="1" applyFont="1" applyFill="1" applyBorder="1" applyAlignment="1">
      <alignment horizontal="right" vertical="center"/>
    </xf>
    <xf numFmtId="177" fontId="21" fillId="4" borderId="14" xfId="1" applyNumberFormat="1" applyFont="1" applyFill="1" applyBorder="1" applyAlignment="1">
      <alignment horizontal="right" vertical="center"/>
    </xf>
    <xf numFmtId="178" fontId="21" fillId="4" borderId="2" xfId="1" applyNumberFormat="1" applyFont="1" applyFill="1" applyBorder="1" applyAlignment="1">
      <alignment horizontal="right" vertical="center"/>
    </xf>
    <xf numFmtId="41" fontId="21" fillId="4" borderId="6" xfId="1" applyFont="1" applyFill="1" applyBorder="1" applyAlignment="1">
      <alignment horizontal="right" vertical="center"/>
    </xf>
    <xf numFmtId="41" fontId="21" fillId="0" borderId="29" xfId="1" applyFont="1" applyBorder="1" applyAlignment="1">
      <alignment horizontal="right" vertical="center"/>
    </xf>
    <xf numFmtId="180" fontId="21" fillId="4" borderId="29" xfId="1" applyNumberFormat="1" applyFont="1" applyFill="1" applyBorder="1" applyAlignment="1">
      <alignment horizontal="right" vertical="center"/>
    </xf>
    <xf numFmtId="41" fontId="22" fillId="0" borderId="29" xfId="1" applyFont="1" applyBorder="1" applyAlignment="1">
      <alignment horizontal="right" vertical="center"/>
    </xf>
    <xf numFmtId="180" fontId="21" fillId="4" borderId="30" xfId="1" applyNumberFormat="1" applyFont="1" applyFill="1" applyBorder="1" applyAlignment="1">
      <alignment horizontal="right" vertical="center"/>
    </xf>
    <xf numFmtId="177" fontId="21" fillId="0" borderId="31" xfId="1" applyNumberFormat="1" applyFont="1" applyBorder="1" applyAlignment="1">
      <alignment horizontal="right" vertical="center"/>
    </xf>
    <xf numFmtId="178" fontId="21" fillId="0" borderId="29" xfId="1" applyNumberFormat="1" applyFont="1" applyBorder="1" applyAlignment="1">
      <alignment horizontal="right" vertical="center"/>
    </xf>
    <xf numFmtId="181" fontId="21" fillId="4" borderId="30" xfId="1" applyNumberFormat="1" applyFont="1" applyFill="1" applyBorder="1" applyAlignment="1">
      <alignment horizontal="right" vertical="center"/>
    </xf>
    <xf numFmtId="41" fontId="21" fillId="0" borderId="28" xfId="1" applyFont="1" applyBorder="1" applyAlignment="1">
      <alignment horizontal="right" vertical="center"/>
    </xf>
    <xf numFmtId="180" fontId="21" fillId="4" borderId="33" xfId="1" applyNumberFormat="1" applyFont="1" applyFill="1" applyBorder="1" applyAlignment="1">
      <alignment horizontal="right" vertical="center"/>
    </xf>
    <xf numFmtId="0" fontId="6" fillId="0" borderId="36" xfId="0" applyFont="1" applyBorder="1" applyAlignment="1">
      <alignment horizontal="left" vertical="center"/>
    </xf>
    <xf numFmtId="0" fontId="6" fillId="4" borderId="36" xfId="0" applyFont="1" applyFill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41" fontId="24" fillId="0" borderId="2" xfId="1" applyFont="1" applyBorder="1" applyAlignment="1">
      <alignment horizontal="right" vertical="center"/>
    </xf>
    <xf numFmtId="41" fontId="24" fillId="4" borderId="2" xfId="1" applyFont="1" applyFill="1" applyBorder="1" applyAlignment="1">
      <alignment horizontal="right" vertical="center"/>
    </xf>
    <xf numFmtId="41" fontId="24" fillId="0" borderId="29" xfId="1" applyFont="1" applyBorder="1" applyAlignment="1">
      <alignment horizontal="right" vertical="center"/>
    </xf>
    <xf numFmtId="14" fontId="23" fillId="6" borderId="15" xfId="0" applyNumberFormat="1" applyFont="1" applyFill="1" applyBorder="1" applyAlignment="1">
      <alignment horizontal="center" vertical="center"/>
    </xf>
    <xf numFmtId="41" fontId="25" fillId="0" borderId="2" xfId="1" applyFont="1" applyBorder="1" applyAlignment="1">
      <alignment horizontal="right" vertical="center"/>
    </xf>
    <xf numFmtId="41" fontId="25" fillId="4" borderId="2" xfId="1" applyFont="1" applyFill="1" applyBorder="1" applyAlignment="1">
      <alignment horizontal="right" vertical="center"/>
    </xf>
    <xf numFmtId="41" fontId="25" fillId="0" borderId="29" xfId="1" applyFont="1" applyBorder="1" applyAlignment="1">
      <alignment horizontal="right" vertical="center"/>
    </xf>
    <xf numFmtId="182" fontId="25" fillId="0" borderId="7" xfId="1" applyNumberFormat="1" applyFont="1" applyBorder="1" applyAlignment="1">
      <alignment horizontal="right" vertical="center"/>
    </xf>
    <xf numFmtId="182" fontId="25" fillId="4" borderId="7" xfId="1" applyNumberFormat="1" applyFont="1" applyFill="1" applyBorder="1" applyAlignment="1">
      <alignment horizontal="right" vertical="center"/>
    </xf>
    <xf numFmtId="182" fontId="25" fillId="0" borderId="32" xfId="1" applyNumberFormat="1" applyFont="1" applyBorder="1" applyAlignment="1">
      <alignment horizontal="right" vertical="center"/>
    </xf>
    <xf numFmtId="41" fontId="26" fillId="0" borderId="2" xfId="1" applyFont="1" applyBorder="1" applyAlignment="1">
      <alignment horizontal="right" vertical="center"/>
    </xf>
    <xf numFmtId="41" fontId="26" fillId="4" borderId="2" xfId="1" applyFont="1" applyFill="1" applyBorder="1" applyAlignment="1">
      <alignment horizontal="right" vertical="center"/>
    </xf>
    <xf numFmtId="41" fontId="26" fillId="0" borderId="29" xfId="1" applyFont="1" applyBorder="1" applyAlignment="1">
      <alignment horizontal="right" vertical="center"/>
    </xf>
    <xf numFmtId="0" fontId="17" fillId="8" borderId="38" xfId="0" applyFont="1" applyFill="1" applyBorder="1">
      <alignment vertical="center"/>
    </xf>
    <xf numFmtId="0" fontId="17" fillId="8" borderId="39" xfId="0" applyFont="1" applyFill="1" applyBorder="1">
      <alignment vertical="center"/>
    </xf>
    <xf numFmtId="0" fontId="17" fillId="8" borderId="13" xfId="0" applyFont="1" applyFill="1" applyBorder="1">
      <alignment vertical="center"/>
    </xf>
    <xf numFmtId="0" fontId="17" fillId="8" borderId="12" xfId="0" applyFont="1" applyFill="1" applyBorder="1">
      <alignment vertical="center"/>
    </xf>
    <xf numFmtId="0" fontId="0" fillId="0" borderId="2" xfId="0" applyFont="1" applyFill="1" applyBorder="1">
      <alignment vertical="center"/>
    </xf>
    <xf numFmtId="0" fontId="17" fillId="8" borderId="40" xfId="0" applyFont="1" applyFill="1" applyBorder="1">
      <alignment vertical="center"/>
    </xf>
    <xf numFmtId="0" fontId="0" fillId="7" borderId="29" xfId="0" applyFill="1" applyBorder="1">
      <alignment vertical="center"/>
    </xf>
    <xf numFmtId="0" fontId="28" fillId="0" borderId="2" xfId="0" applyFont="1" applyFill="1" applyBorder="1" applyAlignment="1">
      <alignment horizontal="center" vertical="center"/>
    </xf>
    <xf numFmtId="0" fontId="28" fillId="8" borderId="2" xfId="0" applyFont="1" applyFill="1" applyBorder="1">
      <alignment vertical="center"/>
    </xf>
    <xf numFmtId="0" fontId="27" fillId="0" borderId="2" xfId="0" applyFont="1" applyFill="1" applyBorder="1">
      <alignment vertical="center"/>
    </xf>
    <xf numFmtId="0" fontId="17" fillId="4" borderId="39" xfId="0" applyFont="1" applyFill="1" applyBorder="1">
      <alignment vertical="center"/>
    </xf>
    <xf numFmtId="0" fontId="27" fillId="4" borderId="2" xfId="0" applyFont="1" applyFill="1" applyBorder="1" applyAlignment="1">
      <alignment horizontal="center" vertical="center"/>
    </xf>
    <xf numFmtId="0" fontId="17" fillId="4" borderId="38" xfId="0" applyFont="1" applyFill="1" applyBorder="1">
      <alignment vertical="center"/>
    </xf>
    <xf numFmtId="0" fontId="28" fillId="4" borderId="6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28" fillId="4" borderId="2" xfId="0" applyFont="1" applyFill="1" applyBorder="1">
      <alignment vertical="center"/>
    </xf>
    <xf numFmtId="0" fontId="0" fillId="0" borderId="41" xfId="0" applyFont="1" applyFill="1" applyBorder="1">
      <alignment vertical="center"/>
    </xf>
    <xf numFmtId="0" fontId="27" fillId="4" borderId="4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7" fillId="0" borderId="41" xfId="0" applyFont="1" applyFill="1" applyBorder="1">
      <alignment vertical="center"/>
    </xf>
    <xf numFmtId="0" fontId="29" fillId="9" borderId="47" xfId="0" applyFont="1" applyFill="1" applyBorder="1">
      <alignment vertical="center"/>
    </xf>
    <xf numFmtId="0" fontId="29" fillId="4" borderId="48" xfId="0" applyFont="1" applyFill="1" applyBorder="1" applyAlignment="1">
      <alignment horizontal="center" vertical="center"/>
    </xf>
    <xf numFmtId="0" fontId="29" fillId="9" borderId="48" xfId="0" applyFont="1" applyFill="1" applyBorder="1" applyAlignment="1">
      <alignment horizontal="center" vertical="center"/>
    </xf>
    <xf numFmtId="0" fontId="29" fillId="9" borderId="49" xfId="0" applyFont="1" applyFill="1" applyBorder="1" applyAlignment="1">
      <alignment horizontal="center" vertical="center"/>
    </xf>
    <xf numFmtId="0" fontId="29" fillId="4" borderId="50" xfId="0" applyFont="1" applyFill="1" applyBorder="1" applyAlignment="1">
      <alignment horizontal="center" vertical="center"/>
    </xf>
    <xf numFmtId="0" fontId="29" fillId="6" borderId="51" xfId="0" applyFont="1" applyFill="1" applyBorder="1">
      <alignment vertical="center"/>
    </xf>
    <xf numFmtId="0" fontId="27" fillId="4" borderId="6" xfId="0" applyNumberFormat="1" applyFont="1" applyFill="1" applyBorder="1" applyAlignment="1">
      <alignment horizontal="center" vertical="center"/>
    </xf>
    <xf numFmtId="0" fontId="27" fillId="4" borderId="28" xfId="0" applyNumberFormat="1" applyFont="1" applyFill="1" applyBorder="1" applyAlignment="1">
      <alignment horizontal="center" vertical="center"/>
    </xf>
    <xf numFmtId="0" fontId="17" fillId="8" borderId="52" xfId="0" applyFont="1" applyFill="1" applyBorder="1">
      <alignment vertical="center"/>
    </xf>
    <xf numFmtId="0" fontId="0" fillId="0" borderId="53" xfId="0" applyBorder="1">
      <alignment vertical="center"/>
    </xf>
    <xf numFmtId="0" fontId="0" fillId="0" borderId="53" xfId="0" applyFont="1" applyFill="1" applyBorder="1">
      <alignment vertical="center"/>
    </xf>
    <xf numFmtId="0" fontId="0" fillId="0" borderId="54" xfId="0" applyFont="1" applyFill="1" applyBorder="1">
      <alignment vertical="center"/>
    </xf>
    <xf numFmtId="0" fontId="29" fillId="9" borderId="55" xfId="0" applyFont="1" applyFill="1" applyBorder="1">
      <alignment vertical="center"/>
    </xf>
    <xf numFmtId="0" fontId="28" fillId="0" borderId="2" xfId="0" applyNumberFormat="1" applyFont="1" applyFill="1" applyBorder="1" applyAlignment="1">
      <alignment horizontal="center" vertical="center"/>
    </xf>
    <xf numFmtId="0" fontId="28" fillId="0" borderId="41" xfId="0" applyNumberFormat="1" applyFont="1" applyFill="1" applyBorder="1" applyAlignment="1">
      <alignment horizontal="center" vertical="center"/>
    </xf>
    <xf numFmtId="0" fontId="28" fillId="0" borderId="3" xfId="0" applyFont="1" applyFill="1" applyBorder="1" applyAlignment="1">
      <alignment horizontal="center" vertical="center"/>
    </xf>
    <xf numFmtId="0" fontId="28" fillId="0" borderId="46" xfId="0" applyFont="1" applyFill="1" applyBorder="1" applyAlignment="1">
      <alignment horizontal="center" vertical="center"/>
    </xf>
    <xf numFmtId="0" fontId="28" fillId="0" borderId="41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/>
    </xf>
    <xf numFmtId="183" fontId="0" fillId="0" borderId="0" xfId="0" applyNumberFormat="1" applyFill="1" applyAlignment="1">
      <alignment horizontal="right" vertical="center"/>
    </xf>
    <xf numFmtId="0" fontId="3" fillId="0" borderId="0" xfId="0" applyFont="1" applyFill="1">
      <alignment vertical="center"/>
    </xf>
    <xf numFmtId="0" fontId="28" fillId="0" borderId="0" xfId="0" applyFont="1" applyFill="1">
      <alignment vertical="center"/>
    </xf>
    <xf numFmtId="14" fontId="0" fillId="7" borderId="2" xfId="0" applyNumberForma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56" xfId="0" applyFill="1" applyBorder="1" applyAlignment="1">
      <alignment horizontal="center" vertical="center"/>
    </xf>
    <xf numFmtId="0" fontId="0" fillId="7" borderId="44" xfId="0" applyFill="1" applyBorder="1" applyAlignment="1">
      <alignment horizontal="center" vertical="center"/>
    </xf>
    <xf numFmtId="0" fontId="0" fillId="7" borderId="57" xfId="0" applyFill="1" applyBorder="1" applyAlignment="1">
      <alignment horizontal="center" vertical="center"/>
    </xf>
    <xf numFmtId="0" fontId="0" fillId="7" borderId="43" xfId="0" applyFill="1" applyBorder="1" applyAlignment="1">
      <alignment horizontal="center" vertical="center"/>
    </xf>
    <xf numFmtId="0" fontId="0" fillId="7" borderId="4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 wrapText="1"/>
    </xf>
    <xf numFmtId="0" fontId="20" fillId="7" borderId="29" xfId="0" applyFont="1" applyFill="1" applyBorder="1" applyAlignment="1">
      <alignment horizontal="center" vertical="center" wrapText="1"/>
    </xf>
  </cellXfs>
  <cellStyles count="4">
    <cellStyle name="쉼표 [0]" xfId="1" builtinId="6"/>
    <cellStyle name="표준" xfId="0" builtinId="0"/>
    <cellStyle name="표준 2" xfId="3" xr:uid="{0646109A-76D5-4B46-A77C-C8FAD13345CD}"/>
    <cellStyle name="하이퍼링크" xfId="2" builtinId="8"/>
  </cellStyles>
  <dxfs count="26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none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left style="double">
          <color theme="9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0" formatCode="General"/>
      <fill>
        <patternFill patternType="none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none">
          <bgColor auto="1"/>
        </patternFill>
      </fill>
      <border diagonalUp="0" diagonalDown="0">
        <left style="thin">
          <color indexed="64"/>
        </left>
        <right style="slantDashDot">
          <color rgb="FF00B050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theme="9"/>
        </left>
        <top style="thin">
          <color theme="9"/>
        </top>
      </border>
    </dxf>
    <dxf>
      <border outline="0">
        <bottom style="medium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numFmt numFmtId="0" formatCode="General"/>
    </dxf>
    <dxf>
      <numFmt numFmtId="0" formatCode="General"/>
    </dxf>
    <dxf>
      <numFmt numFmtId="183" formatCode="#,##0.00_ "/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3" defaultTableStyle="표 스타일 2" defaultPivotStyle="PivotStyleLight16">
    <tableStyle name="표 스타일 1" pivot="0" count="0" xr9:uid="{527EA0F4-F002-4A65-849E-CC21703D6F7C}"/>
    <tableStyle name="표 스타일 2" pivot="0" count="0" xr9:uid="{E37FE5D2-C9C6-4704-A342-96928206828E}"/>
    <tableStyle name="피벗 테이블 스타일 1" table="0" count="0" xr9:uid="{03AB2710-886A-47CC-9E85-B59CD82498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학년도별 비교</a:t>
            </a:r>
            <a:r>
              <a:rPr lang="ko-KR" altLang="en-US" sz="1400" b="0" i="0" u="none" strike="noStrike" baseline="0"/>
              <a:t> </a:t>
            </a:r>
            <a:endParaRPr lang="ko-KR" altLang="en-US"/>
          </a:p>
        </c:rich>
      </c:tx>
      <c:layout>
        <c:manualLayout>
          <c:xMode val="edge"/>
          <c:yMode val="edge"/>
          <c:x val="5.1159667541557347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'2026학년도 대학별 수시2차 지원현황'!$AU$4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'2026학년도 대학별 수시2차 지원현황'!$AT$5:$AT$15</c:f>
              <c:strCache>
                <c:ptCount val="11"/>
                <c:pt idx="0">
                  <c:v>인하공업전문대학</c:v>
                </c:pt>
                <c:pt idx="1">
                  <c:v>동양미래대학교</c:v>
                </c:pt>
                <c:pt idx="2">
                  <c:v>한양여자대학교M</c:v>
                </c:pt>
                <c:pt idx="3">
                  <c:v>동서울대학교M</c:v>
                </c:pt>
                <c:pt idx="4">
                  <c:v>연성대학교M</c:v>
                </c:pt>
                <c:pt idx="5">
                  <c:v>부천대학교</c:v>
                </c:pt>
                <c:pt idx="6">
                  <c:v>대림대학교M</c:v>
                </c:pt>
                <c:pt idx="7">
                  <c:v>유한대학교</c:v>
                </c:pt>
                <c:pt idx="8">
                  <c:v>경인여자대학교M</c:v>
                </c:pt>
                <c:pt idx="9">
                  <c:v>재능대학교M</c:v>
                </c:pt>
                <c:pt idx="10">
                  <c:v>김포대학교M</c:v>
                </c:pt>
              </c:strCache>
            </c:strRef>
          </c:cat>
          <c:val>
            <c:numRef>
              <c:f>'2026학년도 대학별 수시2차 지원현황'!$AU$5:$AU$15</c:f>
              <c:numCache>
                <c:formatCode>_(* #,##0_);_(* \(#,##0\);_(* "-"_);_(@_)</c:formatCode>
                <c:ptCount val="11"/>
                <c:pt idx="0">
                  <c:v>6308</c:v>
                </c:pt>
                <c:pt idx="1">
                  <c:v>3818</c:v>
                </c:pt>
                <c:pt idx="2">
                  <c:v>5527</c:v>
                </c:pt>
                <c:pt idx="3">
                  <c:v>2905</c:v>
                </c:pt>
                <c:pt idx="4">
                  <c:v>5676</c:v>
                </c:pt>
                <c:pt idx="5">
                  <c:v>6924</c:v>
                </c:pt>
                <c:pt idx="6">
                  <c:v>2436</c:v>
                </c:pt>
                <c:pt idx="7">
                  <c:v>2926</c:v>
                </c:pt>
                <c:pt idx="8">
                  <c:v>2526</c:v>
                </c:pt>
                <c:pt idx="9">
                  <c:v>1772</c:v>
                </c:pt>
                <c:pt idx="10">
                  <c:v>1246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F7-4DAB-AD2C-9E1CC98B1829}"/>
            </c:ext>
          </c:extLst>
        </c:ser>
        <c:ser>
          <c:idx val="1"/>
          <c:order val="1"/>
          <c:tx>
            <c:strRef>
              <c:f>'2026학년도 대학별 수시2차 지원현황'!$AV$4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'2026학년도 대학별 수시2차 지원현황'!$AT$5:$AT$15</c:f>
              <c:strCache>
                <c:ptCount val="11"/>
                <c:pt idx="0">
                  <c:v>인하공업전문대학</c:v>
                </c:pt>
                <c:pt idx="1">
                  <c:v>동양미래대학교</c:v>
                </c:pt>
                <c:pt idx="2">
                  <c:v>한양여자대학교M</c:v>
                </c:pt>
                <c:pt idx="3">
                  <c:v>동서울대학교M</c:v>
                </c:pt>
                <c:pt idx="4">
                  <c:v>연성대학교M</c:v>
                </c:pt>
                <c:pt idx="5">
                  <c:v>부천대학교</c:v>
                </c:pt>
                <c:pt idx="6">
                  <c:v>대림대학교M</c:v>
                </c:pt>
                <c:pt idx="7">
                  <c:v>유한대학교</c:v>
                </c:pt>
                <c:pt idx="8">
                  <c:v>경인여자대학교M</c:v>
                </c:pt>
                <c:pt idx="9">
                  <c:v>재능대학교M</c:v>
                </c:pt>
                <c:pt idx="10">
                  <c:v>김포대학교M</c:v>
                </c:pt>
              </c:strCache>
            </c:strRef>
          </c:cat>
          <c:val>
            <c:numRef>
              <c:f>'2026학년도 대학별 수시2차 지원현황'!$AV$5:$AV$15</c:f>
              <c:numCache>
                <c:formatCode>_(* #,##0_);_(* \(#,##0\);_(* "-"_);_(@_)</c:formatCode>
                <c:ptCount val="11"/>
                <c:pt idx="0">
                  <c:v>6697</c:v>
                </c:pt>
                <c:pt idx="1">
                  <c:v>3734</c:v>
                </c:pt>
                <c:pt idx="2">
                  <c:v>6827</c:v>
                </c:pt>
                <c:pt idx="3">
                  <c:v>3414</c:v>
                </c:pt>
                <c:pt idx="4">
                  <c:v>7019</c:v>
                </c:pt>
                <c:pt idx="5">
                  <c:v>6827</c:v>
                </c:pt>
                <c:pt idx="6">
                  <c:v>3534</c:v>
                </c:pt>
                <c:pt idx="7">
                  <c:v>3307</c:v>
                </c:pt>
                <c:pt idx="8">
                  <c:v>2986</c:v>
                </c:pt>
                <c:pt idx="9">
                  <c:v>1868</c:v>
                </c:pt>
                <c:pt idx="10">
                  <c:v>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F7-4DAB-AD2C-9E1CC98B1829}"/>
            </c:ext>
          </c:extLst>
        </c:ser>
        <c:ser>
          <c:idx val="2"/>
          <c:order val="2"/>
          <c:tx>
            <c:strRef>
              <c:f>'2026학년도 대학별 수시2차 지원현황'!$AW$4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'2026학년도 대학별 수시2차 지원현황'!$AT$5:$AT$15</c:f>
              <c:strCache>
                <c:ptCount val="11"/>
                <c:pt idx="0">
                  <c:v>인하공업전문대학</c:v>
                </c:pt>
                <c:pt idx="1">
                  <c:v>동양미래대학교</c:v>
                </c:pt>
                <c:pt idx="2">
                  <c:v>한양여자대학교M</c:v>
                </c:pt>
                <c:pt idx="3">
                  <c:v>동서울대학교M</c:v>
                </c:pt>
                <c:pt idx="4">
                  <c:v>연성대학교M</c:v>
                </c:pt>
                <c:pt idx="5">
                  <c:v>부천대학교</c:v>
                </c:pt>
                <c:pt idx="6">
                  <c:v>대림대학교M</c:v>
                </c:pt>
                <c:pt idx="7">
                  <c:v>유한대학교</c:v>
                </c:pt>
                <c:pt idx="8">
                  <c:v>경인여자대학교M</c:v>
                </c:pt>
                <c:pt idx="9">
                  <c:v>재능대학교M</c:v>
                </c:pt>
                <c:pt idx="10">
                  <c:v>김포대학교M</c:v>
                </c:pt>
              </c:strCache>
            </c:strRef>
          </c:cat>
          <c:val>
            <c:numRef>
              <c:f>'2026학년도 대학별 수시2차 지원현황'!$AW$5:$AW$15</c:f>
              <c:numCache>
                <c:formatCode>_(* #,##0_);_(* \(#,##0\);_(* "-"_);_(@_)</c:formatCode>
                <c:ptCount val="11"/>
                <c:pt idx="0">
                  <c:v>916</c:v>
                </c:pt>
                <c:pt idx="1">
                  <c:v>353</c:v>
                </c:pt>
                <c:pt idx="2">
                  <c:v>639</c:v>
                </c:pt>
                <c:pt idx="3">
                  <c:v>464</c:v>
                </c:pt>
                <c:pt idx="4">
                  <c:v>1151</c:v>
                </c:pt>
                <c:pt idx="5">
                  <c:v>906</c:v>
                </c:pt>
                <c:pt idx="6">
                  <c:v>479</c:v>
                </c:pt>
                <c:pt idx="7">
                  <c:v>500</c:v>
                </c:pt>
                <c:pt idx="8">
                  <c:v>333</c:v>
                </c:pt>
                <c:pt idx="9">
                  <c:v>320</c:v>
                </c:pt>
                <c:pt idx="10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F7-4DAB-AD2C-9E1CC98B1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2972159"/>
        <c:axId val="1407370735"/>
      </c:barChart>
      <c:catAx>
        <c:axId val="164297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7370735"/>
        <c:crosses val="autoZero"/>
        <c:auto val="1"/>
        <c:lblAlgn val="ctr"/>
        <c:lblOffset val="100"/>
        <c:noMultiLvlLbl val="0"/>
      </c:catAx>
      <c:valAx>
        <c:axId val="140737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4297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3992279090113735"/>
          <c:y val="6.0763342082239678E-2"/>
          <c:w val="0.24240185650817445"/>
          <c:h val="7.8984087017603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44450</xdr:colOff>
      <xdr:row>32</xdr:row>
      <xdr:rowOff>69850</xdr:rowOff>
    </xdr:from>
    <xdr:to>
      <xdr:col>40</xdr:col>
      <xdr:colOff>620905</xdr:colOff>
      <xdr:row>43</xdr:row>
      <xdr:rowOff>136525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249011F-BF23-40C7-843F-AE59B884C260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5075" y="6594475"/>
          <a:ext cx="6374281" cy="2581274"/>
        </a:xfrm>
        <a:prstGeom prst="rect">
          <a:avLst/>
        </a:prstGeom>
      </xdr:spPr>
    </xdr:pic>
    <xdr:clientData/>
  </xdr:twoCellAnchor>
  <xdr:twoCellAnchor>
    <xdr:from>
      <xdr:col>23</xdr:col>
      <xdr:colOff>799271</xdr:colOff>
      <xdr:row>16</xdr:row>
      <xdr:rowOff>110987</xdr:rowOff>
    </xdr:from>
    <xdr:to>
      <xdr:col>40</xdr:col>
      <xdr:colOff>298175</xdr:colOff>
      <xdr:row>29</xdr:row>
      <xdr:rowOff>215347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1DE1BCD-8989-4582-906E-2B87C86C0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4829756D-22F7-4854-A7F9-A2113072EB29}" autoFormatId="16" applyNumberFormats="0" applyBorderFormats="0" applyFontFormats="0" applyPatternFormats="0" applyAlignmentFormats="0" applyWidthHeightFormats="0">
  <queryTableRefresh nextId="7">
    <queryTableFields count="6">
      <queryTableField id="1" name="구분" tableColumnId="1"/>
      <queryTableField id="2" name="전형명" tableColumnId="2"/>
      <queryTableField id="3" name="전형명2" tableColumnId="3"/>
      <queryTableField id="4" name="모집인원" tableColumnId="4"/>
      <queryTableField id="5" name="지원인원" tableColumnId="5"/>
      <queryTableField id="6" name="경쟁률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9" xr16:uid="{87C21BFA-F1FF-4643-BF9B-C6FF9F0D88E0}" autoFormatId="16" applyNumberFormats="0" applyBorderFormats="0" applyFontFormats="0" applyPatternFormats="0" applyAlignmentFormats="0" applyWidthHeightFormats="0">
  <queryTableRefresh nextId="5">
    <queryTableFields count="4">
      <queryTableField id="1" name="전형명" tableColumnId="1"/>
      <queryTableField id="2" name="모집인원" tableColumnId="2"/>
      <queryTableField id="3" name="지원인원" tableColumnId="3"/>
      <queryTableField id="4" name="경쟁률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88950D34-FCF0-40E1-8A18-6AF8AEBAC3DF}" autoFormatId="16" applyNumberFormats="0" applyBorderFormats="0" applyFontFormats="0" applyPatternFormats="0" applyAlignmentFormats="0" applyWidthHeightFormats="0">
  <queryTableRefresh nextId="5">
    <queryTableFields count="4">
      <queryTableField id="1" name="구분" tableColumnId="1"/>
      <queryTableField id="2" name="총모집인원" tableColumnId="2"/>
      <queryTableField id="3" name="지원인원" tableColumnId="3"/>
      <queryTableField id="4" name="경쟁률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D8875251-0D1E-47E0-882A-B162D8D8F30C}" autoFormatId="16" applyNumberFormats="0" applyBorderFormats="0" applyFontFormats="0" applyPatternFormats="0" applyAlignmentFormats="0" applyWidthHeightFormats="0">
  <queryTableRefresh nextId="5">
    <queryTableFields count="4">
      <queryTableField id="1" name="구분" tableColumnId="1"/>
      <queryTableField id="2" name="총모집인원" tableColumnId="2"/>
      <queryTableField id="3" name="지원인원" tableColumnId="3"/>
      <queryTableField id="4" name="경쟁률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0" xr16:uid="{03F0F426-54B6-4105-9957-5AA9407E2E2B}" autoFormatId="16" applyNumberFormats="0" applyBorderFormats="0" applyFontFormats="0" applyPatternFormats="0" applyAlignmentFormats="0" applyWidthHeightFormats="0">
  <queryTableRefresh nextId="6">
    <queryTableFields count="5">
      <queryTableField id="1" name="구분" tableColumnId="1"/>
      <queryTableField id="2" name="전형" tableColumnId="2"/>
      <queryTableField id="3" name="총모집인원" tableColumnId="3"/>
      <queryTableField id="4" name="지원인원" tableColumnId="4"/>
      <queryTableField id="5" name="경쟁률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3" xr16:uid="{BAA0A61D-E1C0-4219-8C2C-3988D3EA124B}" autoFormatId="16" applyNumberFormats="0" applyBorderFormats="0" applyFontFormats="0" applyPatternFormats="0" applyAlignmentFormats="0" applyWidthHeightFormats="0">
  <queryTableRefresh nextId="5">
    <queryTableFields count="4">
      <queryTableField id="1" name="구분" tableColumnId="1"/>
      <queryTableField id="2" name="총모집인원" tableColumnId="2"/>
      <queryTableField id="3" name="지원인원" tableColumnId="3"/>
      <queryTableField id="4" name="지원율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2" xr16:uid="{E8ACC6AD-9021-4921-8B10-9878A4CE449A}" autoFormatId="16" applyNumberFormats="0" applyBorderFormats="0" applyFontFormats="0" applyPatternFormats="0" applyAlignmentFormats="0" applyWidthHeightFormats="0">
  <queryTableRefresh nextId="6">
    <queryTableFields count="5">
      <queryTableField id="1" name="구분" tableColumnId="1"/>
      <queryTableField id="2" name="모집전형" tableColumnId="2"/>
      <queryTableField id="3" name="모집인원" tableColumnId="3"/>
      <queryTableField id="4" name="지원인원" tableColumnId="4"/>
      <queryTableField id="5" name="경쟁률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4" xr16:uid="{205B784A-7081-4CC8-9611-4F82DFAEE1C8}" autoFormatId="16" applyNumberFormats="0" applyBorderFormats="0" applyFontFormats="0" applyPatternFormats="0" applyAlignmentFormats="0" applyWidthHeightFormats="0">
  <queryTableRefresh nextId="5">
    <queryTableFields count="4">
      <queryTableField id="1" name="구분" tableColumnId="1"/>
      <queryTableField id="2" name="총모집인원" tableColumnId="2"/>
      <queryTableField id="3" name="지원인원" tableColumnId="3"/>
      <queryTableField id="4" name="경쟁률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3" xr16:uid="{755FDDCE-61F9-4073-90A2-D3FCAB6811F9}" autoFormatId="16" applyNumberFormats="0" applyBorderFormats="0" applyFontFormats="0" applyPatternFormats="0" applyAlignmentFormats="0" applyWidthHeightFormats="0">
  <queryTableRefresh nextId="6">
    <queryTableFields count="5">
      <queryTableField id="1" name="구분" tableColumnId="1"/>
      <queryTableField id="2" name="전형명" tableColumnId="2"/>
      <queryTableField id="3" name="모집인원" tableColumnId="3"/>
      <queryTableField id="4" name="지원인원" tableColumnId="4"/>
      <queryTableField id="5" name="경쟁률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" xr16:uid="{15C4A642-060B-410E-B4DD-253501AFD121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21" xr16:uid="{37C7F02E-EF86-40B9-BE46-61E126DEB3F6}" autoFormatId="16" applyNumberFormats="0" applyBorderFormats="0" applyFontFormats="0" applyPatternFormats="0" applyAlignmentFormats="0" applyWidthHeightFormats="0">
  <queryTableRefresh nextId="6">
    <queryTableFields count="5">
      <queryTableField id="1" name="구분" tableColumnId="1"/>
      <queryTableField id="2" name="전형" tableColumnId="2"/>
      <queryTableField id="3" name="총모집인원" tableColumnId="3"/>
      <queryTableField id="4" name="지원인원" tableColumnId="4"/>
      <queryTableField id="5" name="경쟁률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59B89F2-1DB9-4F24-9419-5E03E5FB4093}" autoFormatId="16" applyNumberFormats="0" applyBorderFormats="0" applyFontFormats="0" applyPatternFormats="0" applyAlignmentFormats="0" applyWidthHeightFormats="0">
  <queryTableRefresh nextId="6">
    <queryTableFields count="5">
      <queryTableField id="1" name="계열" tableColumnId="1"/>
      <queryTableField id="2" name="모집단위" tableColumnId="2"/>
      <queryTableField id="3" name="모집인원" tableColumnId="3"/>
      <queryTableField id="4" name="지원인원" tableColumnId="4"/>
      <queryTableField id="5" name="경쟁률" tableColumnId="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C61BFCE4-D59D-4C3D-92E4-181EE12D8B5B}" autoFormatId="16" applyNumberFormats="0" applyBorderFormats="0" applyFontFormats="0" applyPatternFormats="0" applyAlignmentFormats="0" applyWidthHeightFormats="0">
  <queryTableRefresh nextId="6">
    <queryTableFields count="5">
      <queryTableField id="1" name="계열" tableColumnId="1"/>
      <queryTableField id="2" name="모집단위" tableColumnId="2"/>
      <queryTableField id="3" name="모집인원" tableColumnId="3"/>
      <queryTableField id="4" name="지원인원" tableColumnId="4"/>
      <queryTableField id="5" name="경쟁률" tableColumnId="5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6" xr16:uid="{156C08E2-ECB4-4A3A-822A-71B94A664440}" autoFormatId="16" applyNumberFormats="0" applyBorderFormats="0" applyFontFormats="0" applyPatternFormats="0" applyAlignmentFormats="0" applyWidthHeightFormats="0">
  <queryTableRefresh nextId="5">
    <queryTableFields count="4">
      <queryTableField id="1" name="계열" tableColumnId="1"/>
      <queryTableField id="2" name="학과" tableColumnId="2"/>
      <queryTableField id="3" name="전문대졸" tableColumnId="3"/>
      <queryTableField id="4" name="북한이탈주민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0" xr16:uid="{7491093D-798B-4C20-8765-67BE11B762AE}" autoFormatId="16" applyNumberFormats="0" applyBorderFormats="0" applyFontFormats="0" applyPatternFormats="0" applyAlignmentFormats="0" applyWidthHeightFormats="0">
  <queryTableRefresh nextId="6">
    <queryTableFields count="5">
      <queryTableField id="1" name="계열" tableColumnId="1"/>
      <queryTableField id="2" name="모집단위" tableColumnId="2"/>
      <queryTableField id="3" name="모집인원" tableColumnId="3"/>
      <queryTableField id="4" name="지원인원" tableColumnId="4"/>
      <queryTableField id="5" name="경쟁률" tableColumnId="5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8" xr16:uid="{EAF67999-5989-4F7B-8318-DA0E0EA3033A}" autoFormatId="16" applyNumberFormats="0" applyBorderFormats="0" applyFontFormats="0" applyPatternFormats="0" applyAlignmentFormats="0" applyWidthHeightFormats="0">
  <queryTableRefresh nextId="6">
    <queryTableFields count="5">
      <queryTableField id="1" name="계열" tableColumnId="1"/>
      <queryTableField id="2" name="모집단위" tableColumnId="2"/>
      <queryTableField id="3" name="모집인원" tableColumnId="3"/>
      <queryTableField id="4" name="지원인원" tableColumnId="4"/>
      <queryTableField id="5" name="경쟁률" tableColumnId="5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0" xr16:uid="{6A9C1ED8-2BC5-4A32-9C74-2BB6B0A87D07}" autoFormatId="16" applyNumberFormats="0" applyBorderFormats="0" applyFontFormats="0" applyPatternFormats="0" applyAlignmentFormats="0" applyWidthHeightFormats="0">
  <queryTableRefresh nextId="6">
    <queryTableFields count="5">
      <queryTableField id="1" name="계열" tableColumnId="1"/>
      <queryTableField id="2" name="모집단위" tableColumnId="2"/>
      <queryTableField id="3" name="모집인원" tableColumnId="3"/>
      <queryTableField id="4" name="지원인원" tableColumnId="4"/>
      <queryTableField id="5" name="경쟁률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8061F23-F1F1-46AD-AED5-6C4C11455C7B}" name="표23" displayName="표23" ref="A2:R34" totalsRowShown="0" headerRowDxfId="25">
  <autoFilter ref="A2:R34" xr:uid="{0D2D841B-07A5-4A1F-98D6-0646122E940D}"/>
  <tableColumns count="18">
    <tableColumn id="1" xr3:uid="{312328CA-34BB-445C-B78B-8D4C17824CB7}" name="세로 막대형1"/>
    <tableColumn id="2" xr3:uid="{494C717B-9D8D-449F-B7AD-B39DC6B16D76}" name="세로 막대형2"/>
    <tableColumn id="5" xr3:uid="{EF477ED1-4E63-4B04-A0C9-CA4487EF985E}" name="세로 막대형5"/>
    <tableColumn id="6" xr3:uid="{138B8F54-EB83-4C86-ACF7-BE0443BCAF7B}" name="세로 막대형6"/>
    <tableColumn id="7" xr3:uid="{76BBCE24-5CE4-4727-AA96-AC1DDFCD39E6}" name="세로 막대형7"/>
    <tableColumn id="8" xr3:uid="{D6B17B6D-3FF8-4A03-A1BE-BF3FCFD9FFA7}" name="세로 막대형8"/>
    <tableColumn id="9" xr3:uid="{44C48697-4298-4F94-9203-D126BFBCE23C}" name="세로 막대형9"/>
    <tableColumn id="10" xr3:uid="{4FAAA6CA-F429-453F-AFD4-70A482302FBF}" name="세로 막대형10"/>
    <tableColumn id="11" xr3:uid="{8D07FFD6-7849-4DA7-B05C-27520451A970}" name="세로 막대형11"/>
    <tableColumn id="12" xr3:uid="{06B58918-C1D9-4BB6-AB91-77933FA6D7A4}" name="세로 막대형12"/>
    <tableColumn id="13" xr3:uid="{01F315DE-3B16-433B-8F13-8EDCAB594681}" name="세로 막대형13"/>
    <tableColumn id="14" xr3:uid="{D775A844-9710-4DC6-942A-9361B029F12E}" name="세로 막대형14"/>
    <tableColumn id="15" xr3:uid="{384AF353-C29C-4105-AA0B-630C478F1449}" name="세로 막대형15"/>
    <tableColumn id="16" xr3:uid="{3FDA2A14-8997-4673-A145-E8CFAAC46D45}" name="세로 막대형16"/>
    <tableColumn id="17" xr3:uid="{6D26DFD3-C6F8-448B-8903-FEF18F3BA43A}" name="세로 막대형17"/>
    <tableColumn id="18" xr3:uid="{C0CCAEEB-EBAF-4EAF-9547-D3E1019FBDB0}" name="세로 막대형18"/>
    <tableColumn id="19" xr3:uid="{5E93C57F-05B8-4F96-A0DC-60B38C5F570E}" name="세로 막대형19"/>
    <tableColumn id="20" xr3:uid="{9C0892F2-5B95-48DE-BF78-4EB231FA9282}" name="세로 막대형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6B7E2C5-2F88-496D-9677-117AD799A3BE}" name="전형별_경쟁률_현황__3" displayName="전형별_경쟁률_현황__3" ref="A1:F11" tableType="queryTable" totalsRowCount="1">
  <autoFilter ref="A1:F10" xr:uid="{06190B7E-1072-47CA-A5DC-413575ED35EF}"/>
  <tableColumns count="6">
    <tableColumn id="1" xr3:uid="{38FE7CC5-F9A8-4BE8-9BCB-250C1F0071D8}" uniqueName="1" name="구분" queryTableFieldId="1"/>
    <tableColumn id="2" xr3:uid="{0C28F953-2682-413B-B0E0-321BFAE7AADD}" uniqueName="2" name="전형명" queryTableFieldId="2"/>
    <tableColumn id="3" xr3:uid="{B76E93D0-C572-47FE-887A-1F8F4DD92738}" uniqueName="3" name="전형명2" queryTableFieldId="3"/>
    <tableColumn id="4" xr3:uid="{6F982D25-56E4-432C-BE4F-3EBD0DB223FC}" uniqueName="4" name="모집인원" queryTableFieldId="4"/>
    <tableColumn id="5" xr3:uid="{5B42F00E-068C-4FD9-845B-2E6BBF508067}" uniqueName="5" name="지원인원" queryTableFieldId="5"/>
    <tableColumn id="6" xr3:uid="{3B37471C-B1E6-47E4-9BFB-6AC5EFFA9351}" uniqueName="6" name="경쟁률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42BAE7D-BE47-4366-A1FE-409C5B376931}" name="전형별_경쟁률_현황__5" displayName="전형별_경쟁률_현황__5" ref="A13:D17" tableType="queryTable" totalsRowShown="0">
  <autoFilter ref="A13:D17" xr:uid="{71CD6C9F-1484-4CFA-9F23-D9747C70C735}"/>
  <tableColumns count="4">
    <tableColumn id="1" xr3:uid="{34D2D63B-DB70-4CBA-BE45-D291CACB5AB8}" uniqueName="1" name="전형명" queryTableFieldId="1"/>
    <tableColumn id="2" xr3:uid="{8501546B-26F6-44A8-9CDA-7E2B1BFE24C6}" uniqueName="2" name="모집인원" queryTableFieldId="2"/>
    <tableColumn id="3" xr3:uid="{7EAFEAF2-8C8A-48DE-AD31-B121BDA5ECFC}" uniqueName="3" name="지원인원" queryTableFieldId="3"/>
    <tableColumn id="4" xr3:uid="{D07DB425-AF3D-4A24-A759-7BFF144CAC42}" uniqueName="4" name="경쟁률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42E7AD7-9BED-403D-BCC3-1F970B45D784}" name="전체_경쟁률_현황" displayName="전체_경쟁률_현황" ref="A20:D23" tableType="queryTable" totalsRowShown="0">
  <autoFilter ref="A20:D23" xr:uid="{49F538EB-F6FC-407A-87EC-A94AAE4DC1B3}"/>
  <tableColumns count="4">
    <tableColumn id="1" xr3:uid="{7FC3773D-0202-4F2A-8612-91C985E4030A}" uniqueName="1" name="구분" queryTableFieldId="1"/>
    <tableColumn id="2" xr3:uid="{15DE92BF-D378-4E60-8DE2-A728AF0D35AE}" uniqueName="2" name="총모집인원" queryTableFieldId="2"/>
    <tableColumn id="3" xr3:uid="{8192C0F4-86B9-4163-9AA5-96AA7E374465}" uniqueName="3" name="지원인원" queryTableFieldId="3"/>
    <tableColumn id="4" xr3:uid="{A5873D14-6E0C-4A43-BAF1-A51285ECB33A}" uniqueName="4" name="경쟁률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41BF8BC-CFF4-4682-9C96-915D17280AAB}" name="전체_경쟁률_현황__2" displayName="전체_경쟁률_현황__2" ref="A26:D27" tableType="queryTable" totalsRowShown="0">
  <autoFilter ref="A26:D27" xr:uid="{BD387F1B-D897-423A-BF34-D0F876351E6B}"/>
  <tableColumns count="4">
    <tableColumn id="1" xr3:uid="{3569D16A-9673-4671-8F4F-47CED484B51C}" uniqueName="1" name="구분" queryTableFieldId="1"/>
    <tableColumn id="2" xr3:uid="{3DF88A1C-9D8A-48B7-BEF3-C84A8BB0E89F}" uniqueName="2" name="총모집인원" queryTableFieldId="2"/>
    <tableColumn id="3" xr3:uid="{11D8B1C5-D93E-4145-A37D-882B8B680971}" uniqueName="3" name="지원인원" queryTableFieldId="3" dataDxfId="0"/>
    <tableColumn id="4" xr3:uid="{980AFD3E-3734-46F0-A178-7AF009C58FE6}" uniqueName="4" name="경쟁률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429335E-FD01-44D8-B292-D83D9055DC49}" name="전형별_경쟁률_현황__6" displayName="전형별_경쟁률_현황__6" ref="A31:E41" tableType="queryTable" totalsRowShown="0">
  <autoFilter ref="A31:E41" xr:uid="{96DBA4D5-2235-4D99-B809-95E957B77D56}"/>
  <tableColumns count="5">
    <tableColumn id="1" xr3:uid="{ECCAC40A-D6BF-412A-949E-2E1BBF1DC0B5}" uniqueName="1" name="구분" queryTableFieldId="1"/>
    <tableColumn id="2" xr3:uid="{3BFE9049-C41B-421E-B507-FA99C109F2A8}" uniqueName="2" name="전형" queryTableFieldId="2"/>
    <tableColumn id="3" xr3:uid="{260C0CD8-AADA-42FD-83E2-B10F267E9B26}" uniqueName="3" name="총모집인원" queryTableFieldId="3"/>
    <tableColumn id="4" xr3:uid="{5B6E9358-7001-4FE1-A310-9B627E221FF4}" uniqueName="4" name="지원인원" queryTableFieldId="4"/>
    <tableColumn id="5" xr3:uid="{74A13260-3E9D-4E1E-B1B5-ECC9B62D9AA8}" uniqueName="5" name="경쟁률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A49F177-0DA6-4321-A085-D3608B1588CE}" name="전체_경쟁률_현황__3" displayName="전체_경쟁률_현황__3" ref="K14:N15" tableType="queryTable" totalsRowShown="0">
  <autoFilter ref="K14:N15" xr:uid="{A4376ACD-00EF-4A91-A323-E8BFB00F9DD6}"/>
  <tableColumns count="4">
    <tableColumn id="1" xr3:uid="{2AE73625-E02D-445F-B4FD-2D57F6387F74}" uniqueName="1" name="구분" queryTableFieldId="1"/>
    <tableColumn id="2" xr3:uid="{3E7E88AC-DD61-4BBD-8A50-EA603EB9786A}" uniqueName="2" name="총모집인원" queryTableFieldId="2"/>
    <tableColumn id="3" xr3:uid="{030908A4-AE53-4433-AD77-C3429B1A516A}" uniqueName="3" name="지원인원" queryTableFieldId="3" dataDxfId="1"/>
    <tableColumn id="4" xr3:uid="{12CBEBDD-3099-4A7F-BC43-FC0113C3F5AA}" uniqueName="4" name="지원율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39D5DEC-25D6-428D-B476-51C573076A61}" name="전형별_경쟁률_현황__8" displayName="전형별_경쟁률_현황__8" ref="K18:O28" tableType="queryTable" totalsRowShown="0">
  <autoFilter ref="K18:O28" xr:uid="{60F4AD80-ABCE-46D5-97F2-45058C0225E5}"/>
  <tableColumns count="5">
    <tableColumn id="1" xr3:uid="{5973F02A-D4D9-496A-8328-D8D06167DBB4}" uniqueName="1" name="구분" queryTableFieldId="1"/>
    <tableColumn id="2" xr3:uid="{CCAD5662-1F20-4FA7-8196-8047E9CE8FD6}" uniqueName="2" name="모집전형" queryTableFieldId="2"/>
    <tableColumn id="3" xr3:uid="{B5B378F4-E5F0-49D4-879E-0E2FB2F879F0}" uniqueName="3" name="모집인원" queryTableFieldId="3"/>
    <tableColumn id="4" xr3:uid="{5361EB2F-954F-4C37-AE19-F66CB5D99BBD}" uniqueName="4" name="지원인원" queryTableFieldId="4"/>
    <tableColumn id="5" xr3:uid="{6A190435-C57F-47DF-8C03-C63858B3E5E8}" uniqueName="5" name="경쟁률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DC545DA-B62C-41A4-BABB-FEF424971E75}" name="전체_경쟁률_현황__4" displayName="전체_경쟁률_현황__4" ref="K31:N32" tableType="queryTable" totalsRowShown="0">
  <autoFilter ref="K31:N32" xr:uid="{3C22317C-DB88-4393-95B5-B921A1C63E3A}"/>
  <tableColumns count="4">
    <tableColumn id="1" xr3:uid="{E421CBCF-A16D-4996-8B14-83CB2AB9B3D2}" uniqueName="1" name="구분" queryTableFieldId="1"/>
    <tableColumn id="2" xr3:uid="{2E1A0263-29D0-4712-9E2C-C8DF8839588C}" uniqueName="2" name="총모집인원" queryTableFieldId="2"/>
    <tableColumn id="3" xr3:uid="{59BDE6B6-BE01-4422-B2C2-167031BD7446}" uniqueName="3" name="지원인원" queryTableFieldId="3" dataDxfId="2"/>
    <tableColumn id="4" xr3:uid="{2B66F584-BEC4-4F17-9F61-FBC476EDC689}" uniqueName="4" name="경쟁률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F5AC808-9DC5-4D37-8298-41880BE4DE0E}" name="전형별_경쟁률_현황__9" displayName="전형별_경쟁률_현황__9" ref="K35:O44" tableType="queryTable" totalsRowShown="0">
  <autoFilter ref="K35:O44" xr:uid="{FC67F0C8-6CE9-4135-B3E7-B77A4A2E7CE3}"/>
  <tableColumns count="5">
    <tableColumn id="1" xr3:uid="{50C85205-757C-4C10-8116-15995016B9E3}" uniqueName="1" name="구분" queryTableFieldId="1"/>
    <tableColumn id="2" xr3:uid="{5FDFDACC-0044-410F-9391-7A09D791AADF}" uniqueName="2" name="전형명" queryTableFieldId="2"/>
    <tableColumn id="3" xr3:uid="{9AADBE8F-9090-4544-ACFE-C02CCD56F09C}" uniqueName="3" name="모집인원" queryTableFieldId="3"/>
    <tableColumn id="4" xr3:uid="{024D16D0-3DA7-4A8C-A0D0-10ACC3951ADC}" uniqueName="4" name="지원인원" queryTableFieldId="4"/>
    <tableColumn id="5" xr3:uid="{B8AB67F9-96CF-4ABE-8192-8277CBFA6939}" uniqueName="5" name="경쟁률" queryTableFieldId="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B7A7A3E-86C9-490C-8ABB-C98B89BF099C}" name="Table_1" displayName="Table_1" ref="R15:AH37" tableType="queryTable" totalsRowShown="0">
  <autoFilter ref="R15:AH37" xr:uid="{8D64F6A3-6B0A-4E4E-B4AD-ECE43186231A}"/>
  <tableColumns count="17">
    <tableColumn id="1" xr3:uid="{7CCC74A0-33B4-4CA1-9AF2-BCAFF3F50E49}" uniqueName="1" name="Column1" queryTableFieldId="1"/>
    <tableColumn id="2" xr3:uid="{1C50D912-6AC0-4B8E-B6E2-6E9622DC9F8A}" uniqueName="2" name="Column2" queryTableFieldId="2"/>
    <tableColumn id="3" xr3:uid="{6A6D9A31-3C26-4973-A294-460B61B98FEB}" uniqueName="3" name="Column3" queryTableFieldId="3"/>
    <tableColumn id="4" xr3:uid="{1DE11D7E-DC56-4193-A211-1321643EBF25}" uniqueName="4" name="Column4" queryTableFieldId="4"/>
    <tableColumn id="5" xr3:uid="{C046D7B8-575E-449A-8914-39C357641673}" uniqueName="5" name="Column5" queryTableFieldId="5"/>
    <tableColumn id="6" xr3:uid="{DBF2AB93-29D1-4B82-A64F-03B5F0534E15}" uniqueName="6" name="Column6" queryTableFieldId="6"/>
    <tableColumn id="7" xr3:uid="{3568AE76-BCCC-45AD-8FCF-29C5EDB7D360}" uniqueName="7" name="Column7" queryTableFieldId="7"/>
    <tableColumn id="8" xr3:uid="{8444FC06-5582-4E52-B980-E8109F103313}" uniqueName="8" name="Column8" queryTableFieldId="8"/>
    <tableColumn id="9" xr3:uid="{426112D3-E10D-4E2D-AE5E-AF6879C6760F}" uniqueName="9" name="Column9" queryTableFieldId="9"/>
    <tableColumn id="10" xr3:uid="{02E43288-9997-4FA6-8033-8E07435BCA65}" uniqueName="10" name="Column10" queryTableFieldId="10"/>
    <tableColumn id="11" xr3:uid="{E8AA49CD-15A7-4EEE-9A93-7CB1D35B400A}" uniqueName="11" name="Column11" queryTableFieldId="11"/>
    <tableColumn id="12" xr3:uid="{26F4E743-3428-404F-B48F-D064177662ED}" uniqueName="12" name="Column12" queryTableFieldId="12"/>
    <tableColumn id="13" xr3:uid="{259031D1-4B21-4D0F-90B1-9241B623865C}" uniqueName="13" name="Column13" queryTableFieldId="13"/>
    <tableColumn id="14" xr3:uid="{F92362D4-FEC5-4EBC-B57B-9F1483C89ED7}" uniqueName="14" name="Column14" queryTableFieldId="14"/>
    <tableColumn id="15" xr3:uid="{94B14DCE-47AD-44D7-8587-69106CB6BAA0}" uniqueName="15" name="Column15" queryTableFieldId="15"/>
    <tableColumn id="16" xr3:uid="{5EF8D641-430C-4479-843E-7C6612C43860}" uniqueName="16" name="Column16" queryTableFieldId="16"/>
    <tableColumn id="17" xr3:uid="{497A5989-ECDA-4416-8B68-002EE68F6F01}" uniqueName="17" name="Column17" queryTableFieldId="1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D448D3C-AF2A-44E3-9231-E6DACC3C75CD}" name="전형별_경쟁률_현황__7" displayName="전형별_경쟁률_현황__7" ref="K1:O10" tableType="queryTable" totalsRowShown="0">
  <autoFilter ref="K1:O10" xr:uid="{90EB0F56-30D5-4F95-9647-C15FF3324E0F}"/>
  <tableColumns count="5">
    <tableColumn id="1" xr3:uid="{F8F20184-AAE7-43EE-BFFC-C05C3C8FAEE2}" uniqueName="1" name="구분" queryTableFieldId="1"/>
    <tableColumn id="2" xr3:uid="{C399D0D3-282B-4EF0-A0A1-1386F5A988E8}" uniqueName="2" name="전형" queryTableFieldId="2"/>
    <tableColumn id="3" xr3:uid="{C1234FA7-E023-4A98-8376-A6376928DBEA}" uniqueName="3" name="총모집인원" queryTableFieldId="3"/>
    <tableColumn id="4" xr3:uid="{183EA3DF-13F4-422E-9FD9-764858D175BB}" uniqueName="4" name="지원인원" queryTableFieldId="4"/>
    <tableColumn id="5" xr3:uid="{5A58DFA5-B310-4CE6-B0BD-19D30B98C0B4}" uniqueName="5" name="경쟁률" queryTableFieldId="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8636EE-5FA2-4632-944A-8FAB168E1FB7}" name="농어촌_경쟁률_현황__2" displayName="농어촌_경쟁률_현황__2" ref="N3:R32" tableType="queryTable" totalsRowShown="0">
  <autoFilter ref="N3:R32" xr:uid="{241A0D6F-7B91-4821-9197-B5FA25C73E52}"/>
  <tableColumns count="5">
    <tableColumn id="1" xr3:uid="{8E824B47-D71F-4D24-A0BF-1CA22E0BD32C}" uniqueName="1" name="계열" queryTableFieldId="1"/>
    <tableColumn id="2" xr3:uid="{FEA87933-68CE-4CE9-9A5E-92D6C015D8AA}" uniqueName="2" name="모집단위" queryTableFieldId="2"/>
    <tableColumn id="3" xr3:uid="{01370886-FB8F-4D07-AA2A-48C00858C390}" uniqueName="3" name="모집인원" queryTableFieldId="3"/>
    <tableColumn id="4" xr3:uid="{1DCE7600-10D7-4368-BF2B-E49267BFE766}" uniqueName="4" name="지원인원" queryTableFieldId="4"/>
    <tableColumn id="5" xr3:uid="{20343653-B702-4E6B-A640-97B95F3B3FB9}" uniqueName="5" name="경쟁률" queryTableFieldId="5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924805-3809-4334-B9A6-AAEA69674D0F}" name="수급자_경쟁률_현황__2" displayName="수급자_경쟁률_현황__2" ref="T3:X32" tableType="queryTable" totalsRowShown="0">
  <autoFilter ref="T3:X32" xr:uid="{F3AE4593-41D6-4889-8F4C-44D539A431D9}"/>
  <tableColumns count="5">
    <tableColumn id="1" xr3:uid="{0DEFEEEB-A0C2-4EC1-B57D-A3310269A762}" uniqueName="1" name="계열" queryTableFieldId="1"/>
    <tableColumn id="2" xr3:uid="{679FEF95-6EDA-4E3A-9FEE-15E58DC2ED6C}" uniqueName="2" name="모집단위" queryTableFieldId="2"/>
    <tableColumn id="3" xr3:uid="{CAF93740-7E2E-4EF5-8EE1-3CD484157C59}" uniqueName="3" name="모집인원" queryTableFieldId="3"/>
    <tableColumn id="4" xr3:uid="{A8D66B5B-CA1D-4F6A-940E-428C521EEB6D}" uniqueName="4" name="지원인원" queryTableFieldId="4"/>
    <tableColumn id="5" xr3:uid="{66B37CCD-174A-42EE-8ECD-3208D6EC624E}" uniqueName="5" name="경쟁률" queryTableFieldId="5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BF3439-62A8-44E4-AEAD-E8B6364CB3DB}" name="지원인원_현황_전문대졸__북한이탈주민__지원현황__3" displayName="지원인원_현황_전문대졸__북한이탈주민__지원현황__3" ref="Z3:AC32" tableType="queryTable" totalsRowShown="0">
  <autoFilter ref="Z3:AC32" xr:uid="{D03D106E-FA40-4FEF-B100-11D3F2D0F89E}"/>
  <tableColumns count="4">
    <tableColumn id="1" xr3:uid="{634B8089-8058-4DDA-9EEC-02A3BF13452B}" uniqueName="1" name="계열" queryTableFieldId="1"/>
    <tableColumn id="2" xr3:uid="{ECDEEC1B-4C2A-4CC7-A8F8-7875CAA6F3BC}" uniqueName="2" name="학과" queryTableFieldId="2"/>
    <tableColumn id="3" xr3:uid="{9033E797-148F-4E1B-A134-0825818BF96E}" uniqueName="3" name="전문대졸" queryTableFieldId="3"/>
    <tableColumn id="4" xr3:uid="{938A4EA1-769C-4E60-A301-1A371D91F3D2}" uniqueName="4" name="북한이탈주민" queryTableFieldId="4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F956E8-A43F-4AED-9FED-7A659DFB101A}" name="특성화고_경쟁률_현황__2" displayName="특성화고_경쟁률_현황__2" ref="AE3:AI33" tableType="queryTable" totalsRowShown="0">
  <autoFilter ref="AE3:AI33" xr:uid="{D4B8226A-0EB6-42BA-9C9B-A01C0809C51D}"/>
  <tableColumns count="5">
    <tableColumn id="1" xr3:uid="{D1D78FEF-6A7B-4C60-B478-E91FA8B5B274}" uniqueName="1" name="계열" queryTableFieldId="1"/>
    <tableColumn id="2" xr3:uid="{08DC3AE6-1AA0-459A-83BF-CECED41DBD52}" uniqueName="2" name="모집단위" queryTableFieldId="2"/>
    <tableColumn id="3" xr3:uid="{A2E7F7CC-D84D-435C-AD49-53FE821EE5BE}" uniqueName="3" name="모집인원" queryTableFieldId="3"/>
    <tableColumn id="4" xr3:uid="{BA2E7166-0719-4DB0-8E40-7478FF4E4BC0}" uniqueName="4" name="지원인원" queryTableFieldId="4"/>
    <tableColumn id="5" xr3:uid="{242B1584-186F-43C1-9945-8F0ED438EACC}" uniqueName="5" name="경쟁률" queryTableFieldId="5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14228A-AF44-4ABD-A0D4-76866A40ACBF}" name="특기자_어학__경쟁률_현황__2" displayName="특기자_어학__경쟁률_현황__2" ref="A39:E42" tableType="queryTable" totalsRowShown="0">
  <autoFilter ref="A39:E42" xr:uid="{04046D1B-0656-44F5-84C5-13B04972C9E6}"/>
  <tableColumns count="5">
    <tableColumn id="1" xr3:uid="{F8D02016-452C-4E6D-8F29-FBC03667FE2C}" uniqueName="1" name="계열" queryTableFieldId="1"/>
    <tableColumn id="2" xr3:uid="{F3F77A89-A525-4D4D-812B-35DA789015C1}" uniqueName="2" name="모집단위" queryTableFieldId="2"/>
    <tableColumn id="3" xr3:uid="{D3C9FCA2-4439-451D-AFBB-8876AD606998}" uniqueName="3" name="모집인원" queryTableFieldId="3"/>
    <tableColumn id="4" xr3:uid="{5A9F1EBE-FF35-4C3F-9D61-965818A381F7}" uniqueName="4" name="지원인원" queryTableFieldId="4"/>
    <tableColumn id="5" xr3:uid="{E866AE3A-FF29-496A-951A-81658A148283}" uniqueName="5" name="경쟁률" queryTableFieldId="5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F42B47F-902B-487C-BEFA-FC02121D1667}" name="일반고_경쟁률_현황__4" displayName="일반고_경쟁률_현황__4" ref="AK3:AO33" tableType="queryTable" totalsRowShown="0">
  <autoFilter ref="AK3:AO33" xr:uid="{ECB1BE12-1B11-4783-ACE4-ADD5DF9A6968}"/>
  <tableColumns count="5">
    <tableColumn id="1" xr3:uid="{B5480128-F885-4EA3-9580-BC3D2F47211B}" uniqueName="1" name="계열" queryTableFieldId="1"/>
    <tableColumn id="2" xr3:uid="{BE550AD5-E704-42BC-92AD-E80F0DA4E8A0}" uniqueName="2" name="모집단위" queryTableFieldId="2"/>
    <tableColumn id="3" xr3:uid="{AAB45289-AAA3-45D9-AC4F-DD4CC32B6D56}" uniqueName="3" name="모집인원" queryTableFieldId="3"/>
    <tableColumn id="4" xr3:uid="{310418AB-D10B-4AFC-9662-FFBF270F472E}" uniqueName="4" name="지원인원" queryTableFieldId="4"/>
    <tableColumn id="5" xr3:uid="{CBC26753-8623-47F2-8D0E-995069370648}" uniqueName="5" name="경쟁률" queryTableFieldId="5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E52B8-1D98-4A35-B5BE-563D2D52058F}" name="표26" displayName="표26" ref="A3:L33" totalsRowShown="0" headerRowDxfId="24">
  <tableColumns count="12">
    <tableColumn id="1" xr3:uid="{26737BBB-A352-4967-9A5C-6BA2829245D5}" name="계열"/>
    <tableColumn id="2" xr3:uid="{BFFF5963-46D6-4502-8E1D-A6416990F1C6}" name="모집단위"/>
    <tableColumn id="3" xr3:uid="{101EA58C-F96E-4BED-92D9-E2E45351C336}" name="2024학년도"/>
    <tableColumn id="4" xr3:uid="{3DFD4FF1-C8CC-479F-98A0-4B47BA315279}" name="2025학년도"/>
    <tableColumn id="5" xr3:uid="{BFC017F7-D251-45AC-B5BB-B0527F5269EE}" name="모집인원"/>
    <tableColumn id="6" xr3:uid="{25153A49-D460-4516-AAF9-62493758F118}" name="지원인원"/>
    <tableColumn id="7" xr3:uid="{3AD77F98-31A8-48B5-8BB2-65FFB41DE4F2}" name="경쟁률" dataDxfId="23">
      <calculatedColumnFormula>ROUND(AVERAGE(표26[[#This Row],[지원인원]]/표26[[#This Row],[모집인원]]),2)&amp;" : 1"</calculatedColumnFormula>
    </tableColumn>
    <tableColumn id="8" xr3:uid="{537294CA-525E-484D-B00E-5304FAFF2A58}" name="일자별 누계" dataDxfId="22">
      <calculatedColumnFormula>표26[[#This Row],[지원인원]]</calculatedColumnFormula>
    </tableColumn>
    <tableColumn id="9" xr3:uid="{89C6C99C-7215-4017-9138-6C10841CC092}" name="최종" dataDxfId="21">
      <calculatedColumnFormula>표26[[#This Row],[지원인원]]</calculatedColumnFormula>
    </tableColumn>
    <tableColumn id="10" xr3:uid="{BB576AA0-A87F-4A1B-83F4-A7D743874914}" name="2026학년도2"/>
    <tableColumn id="11" xr3:uid="{A9E17C20-05FF-4EB7-A314-677E5D77357E}" name="증감"/>
    <tableColumn id="12" xr3:uid="{3BCDDD6C-308A-4BC4-8FDC-C929BDA9478D}" name="전년 최종대비"/>
  </tableColumns>
  <tableStyleInfo name="TableStyleLight2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A9CB45-5856-4F90-A90F-AD01832FBCEE}" name="표2" displayName="표2" ref="A46:H76" totalsRowShown="0" headerRowDxfId="20" headerRowBorderDxfId="19" tableBorderDxfId="18">
  <autoFilter ref="A46:H76" xr:uid="{EF3D1743-F271-466A-8CC1-89E721BE50AB}"/>
  <tableColumns count="8">
    <tableColumn id="1" xr3:uid="{BE9E99FB-BB60-4B56-8D4C-AE44DB1069E5}" name="계열" dataDxfId="17"/>
    <tableColumn id="2" xr3:uid="{CA0FA484-96EA-40D8-9EC4-9DD8982B5037}" name="모집단위" dataDxfId="16"/>
    <tableColumn id="3" xr3:uid="{42C3DAB0-3398-4928-8290-6B2AE8ABDEC8}" name="모집인원" dataDxfId="15">
      <calculatedColumnFormula>AM4</calculatedColumnFormula>
    </tableColumn>
    <tableColumn id="4" xr3:uid="{AC73FB16-7A46-4A1F-860F-889DBF530F63}" name="지원인원" dataDxfId="14">
      <calculatedColumnFormula>AN4</calculatedColumnFormula>
    </tableColumn>
    <tableColumn id="5" xr3:uid="{ECF66230-29C0-4E0E-B200-1C26A0E424EC}" name="모집인원2" dataDxfId="13">
      <calculatedColumnFormula>AG4</calculatedColumnFormula>
    </tableColumn>
    <tableColumn id="6" xr3:uid="{1ADE6989-D4E2-4B32-8ED2-480E0606A45B}" name="지원인원3" dataDxfId="12">
      <calculatedColumnFormula>AH4</calculatedColumnFormula>
    </tableColumn>
    <tableColumn id="7" xr3:uid="{B1185002-E06D-4AA0-BE83-EF2C69D764B7}" name="모집인원22" dataDxfId="11"/>
    <tableColumn id="8" xr3:uid="{C952C95F-1BEB-4E14-B06A-E4D67A3B2707}" name="지원인원33" dataDxfId="10"/>
  </tableColumns>
  <tableStyleInfo name="TableStyleLight2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A8AAC00-A86B-4FC2-B32E-B459CB646A4E}" name="표20" displayName="표20" ref="I46:M76" totalsRowShown="0" headerRowDxfId="9" tableBorderDxfId="8">
  <autoFilter ref="I46:M76" xr:uid="{B1DCE5C7-1D79-454E-860D-29284D7D8F13}"/>
  <tableColumns count="5">
    <tableColumn id="1" xr3:uid="{6FD5C691-7BE4-424B-BDA3-EE9166D7EAE9}" name="모집인원2" dataDxfId="7"/>
    <tableColumn id="2" xr3:uid="{35DC0C4C-779F-4DF5-A661-209EDC3E188A}" name="지원인원3" dataDxfId="6"/>
    <tableColumn id="3" xr3:uid="{650B6031-DCA9-4C6B-AEB9-9B6A0717C509}" name="지원인원4" dataDxfId="5"/>
    <tableColumn id="4" xr3:uid="{BA4BF336-9083-421D-9EB2-455E7EE3B19D}" name="지원인원5" dataDxfId="4"/>
    <tableColumn id="5" xr3:uid="{02451635-CE28-466C-AF6C-F5286F6E1169}" name="총합계" dataDxfId="3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ratio.uwayapply.com/SmZKTSVDYDhWSmZDQ2FMSi1mVGY=" TargetMode="External"/><Relationship Id="rId13" Type="http://schemas.openxmlformats.org/officeDocument/2006/relationships/table" Target="../tables/table3.xml"/><Relationship Id="rId18" Type="http://schemas.openxmlformats.org/officeDocument/2006/relationships/table" Target="../tables/table8.xml"/><Relationship Id="rId3" Type="http://schemas.openxmlformats.org/officeDocument/2006/relationships/hyperlink" Target="https://ratio.uwayapply.com/SmZKVzhNYU5ifEpmQ0NhTEotZlRm" TargetMode="External"/><Relationship Id="rId21" Type="http://schemas.openxmlformats.org/officeDocument/2006/relationships/table" Target="../tables/table11.xml"/><Relationship Id="rId7" Type="http://schemas.openxmlformats.org/officeDocument/2006/relationships/hyperlink" Target="https://addon.jinhakapply.com/RatioV1/RatioH/Ratio41290851.html" TargetMode="External"/><Relationship Id="rId12" Type="http://schemas.openxmlformats.org/officeDocument/2006/relationships/table" Target="../tables/table2.xml"/><Relationship Id="rId17" Type="http://schemas.openxmlformats.org/officeDocument/2006/relationships/table" Target="../tables/table7.xml"/><Relationship Id="rId2" Type="http://schemas.openxmlformats.org/officeDocument/2006/relationships/hyperlink" Target="https://addon.jinhakapply.com/RatioV1/RatioH/Ratio40580371.html" TargetMode="External"/><Relationship Id="rId16" Type="http://schemas.openxmlformats.org/officeDocument/2006/relationships/table" Target="../tables/table6.xml"/><Relationship Id="rId20" Type="http://schemas.openxmlformats.org/officeDocument/2006/relationships/table" Target="../tables/table10.xml"/><Relationship Id="rId1" Type="http://schemas.openxmlformats.org/officeDocument/2006/relationships/hyperlink" Target="https://addon.jinhakapply.com/RatioV1/RatioH/Ratio41260471.html" TargetMode="External"/><Relationship Id="rId6" Type="http://schemas.openxmlformats.org/officeDocument/2006/relationships/hyperlink" Target="https://addon.jinhakapply.com/RatioV1/RatioH/Ratio40180641.html" TargetMode="External"/><Relationship Id="rId11" Type="http://schemas.openxmlformats.org/officeDocument/2006/relationships/printerSettings" Target="../printerSettings/printerSettings3.bin"/><Relationship Id="rId5" Type="http://schemas.openxmlformats.org/officeDocument/2006/relationships/hyperlink" Target="https://ratio.uwayapply.com/SmZKclc6JldhYGJKZkNDYUxKLWZUZg==" TargetMode="External"/><Relationship Id="rId15" Type="http://schemas.openxmlformats.org/officeDocument/2006/relationships/table" Target="../tables/table5.xml"/><Relationship Id="rId10" Type="http://schemas.openxmlformats.org/officeDocument/2006/relationships/hyperlink" Target="https://ratio.uwayapply.com/SmZKTEJKZkNDYUxKLWZUZg==" TargetMode="External"/><Relationship Id="rId19" Type="http://schemas.openxmlformats.org/officeDocument/2006/relationships/table" Target="../tables/table9.xml"/><Relationship Id="rId4" Type="http://schemas.openxmlformats.org/officeDocument/2006/relationships/hyperlink" Target="https://ratio.uwayapply.com/SmZKOlZKZkNDYUxKLWZUZg==" TargetMode="External"/><Relationship Id="rId9" Type="http://schemas.openxmlformats.org/officeDocument/2006/relationships/hyperlink" Target="https://ratio.uwayapply.com/SmZKVzh8OmJKZkNDYUxKLWZUZg==" TargetMode="External"/><Relationship Id="rId14" Type="http://schemas.openxmlformats.org/officeDocument/2006/relationships/table" Target="../tables/table4.xml"/><Relationship Id="rId22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.xml"/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10" Type="http://schemas.openxmlformats.org/officeDocument/2006/relationships/table" Target="../tables/table21.xml"/><Relationship Id="rId4" Type="http://schemas.openxmlformats.org/officeDocument/2006/relationships/table" Target="../tables/table15.xml"/><Relationship Id="rId9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9642-0A38-41F3-89C0-B4E78F31D606}">
  <sheetPr codeName="Sheet1"/>
  <dimension ref="A2:S70"/>
  <sheetViews>
    <sheetView workbookViewId="0">
      <selection activeCell="H6" sqref="H6"/>
    </sheetView>
  </sheetViews>
  <sheetFormatPr defaultRowHeight="16.5" x14ac:dyDescent="0.3"/>
  <cols>
    <col min="1" max="1" width="13.875" customWidth="1"/>
    <col min="2" max="2" width="21.375" bestFit="1" customWidth="1"/>
    <col min="3" max="7" width="13.875" customWidth="1"/>
    <col min="8" max="18" width="15" customWidth="1"/>
    <col min="19" max="19" width="11.125" bestFit="1" customWidth="1"/>
  </cols>
  <sheetData>
    <row r="2" spans="1:19" hidden="1" x14ac:dyDescent="0.3">
      <c r="A2" s="46" t="s">
        <v>133</v>
      </c>
      <c r="B2" s="43" t="s">
        <v>134</v>
      </c>
      <c r="C2" s="43" t="s">
        <v>136</v>
      </c>
      <c r="D2" s="43" t="s">
        <v>190</v>
      </c>
      <c r="E2" s="43" t="s">
        <v>191</v>
      </c>
      <c r="F2" s="43" t="s">
        <v>192</v>
      </c>
      <c r="G2" s="43" t="s">
        <v>193</v>
      </c>
      <c r="H2" s="43" t="s">
        <v>194</v>
      </c>
      <c r="I2" s="43" t="s">
        <v>195</v>
      </c>
      <c r="J2" s="43" t="s">
        <v>196</v>
      </c>
      <c r="K2" s="43" t="s">
        <v>197</v>
      </c>
      <c r="L2" s="43" t="s">
        <v>198</v>
      </c>
      <c r="M2" s="43" t="s">
        <v>199</v>
      </c>
      <c r="N2" s="43" t="s">
        <v>200</v>
      </c>
      <c r="O2" s="43" t="s">
        <v>201</v>
      </c>
      <c r="P2" s="43" t="s">
        <v>202</v>
      </c>
      <c r="Q2" s="43" t="s">
        <v>203</v>
      </c>
      <c r="R2" s="43" t="s">
        <v>204</v>
      </c>
      <c r="S2" s="172" t="s">
        <v>118</v>
      </c>
    </row>
    <row r="3" spans="1:19" ht="33" x14ac:dyDescent="0.3">
      <c r="A3" s="46" t="s">
        <v>189</v>
      </c>
      <c r="B3" s="43" t="s">
        <v>83</v>
      </c>
      <c r="C3" s="43"/>
      <c r="D3" s="43" t="s">
        <v>188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172"/>
    </row>
    <row r="4" spans="1:19" x14ac:dyDescent="0.3">
      <c r="A4" s="43"/>
      <c r="B4" s="43"/>
      <c r="C4" s="43" t="s">
        <v>119</v>
      </c>
      <c r="D4" s="45">
        <v>45968</v>
      </c>
      <c r="E4" s="45">
        <v>45969</v>
      </c>
      <c r="F4" s="45">
        <v>45970</v>
      </c>
      <c r="G4" s="45">
        <v>45971</v>
      </c>
      <c r="H4" s="45">
        <v>45972</v>
      </c>
      <c r="I4" s="45">
        <v>45973</v>
      </c>
      <c r="J4" s="45">
        <v>45974</v>
      </c>
      <c r="K4" s="45">
        <v>45975</v>
      </c>
      <c r="L4" s="45">
        <v>45976</v>
      </c>
      <c r="M4" s="45">
        <v>45977</v>
      </c>
      <c r="N4" s="45">
        <v>45978</v>
      </c>
      <c r="O4" s="45">
        <v>45979</v>
      </c>
      <c r="P4" s="45">
        <v>45980</v>
      </c>
      <c r="Q4" s="45">
        <v>45981</v>
      </c>
      <c r="R4" s="45">
        <v>45982</v>
      </c>
      <c r="S4" s="49"/>
    </row>
    <row r="5" spans="1:19" x14ac:dyDescent="0.3">
      <c r="A5" t="s">
        <v>84</v>
      </c>
      <c r="B5" t="s">
        <v>85</v>
      </c>
      <c r="C5">
        <v>12</v>
      </c>
      <c r="D5" t="str">
        <f ca="1">IF($D$4='학과별 원서접수'!$F$2,'학과별 원서접수'!F4,"아직")</f>
        <v>아직</v>
      </c>
      <c r="E5" t="str">
        <f ca="1">IF($E$4='학과별 원서접수'!$F$2,'학과별 원서접수'!G4,"아직")</f>
        <v>아직</v>
      </c>
      <c r="F5" t="str">
        <f ca="1">IF($F$4='학과별 원서접수'!$F$2,'학과별 원서접수'!H4,"아직")</f>
        <v>아직</v>
      </c>
      <c r="G5" t="str">
        <f ca="1">IF($G$4='학과별 원서접수'!$F$2,'학과별 원서접수'!I4,"아직")</f>
        <v>아직</v>
      </c>
      <c r="H5">
        <f ca="1">IF($H$4='학과별 원서접수'!$F$2,'학과별 원서접수'!J4,"아직")</f>
        <v>0</v>
      </c>
      <c r="I5" t="str">
        <f ca="1">IF(I4='학과별 원서접수'!$F$2,'학과별 원서접수'!K4,"아직")</f>
        <v>아직</v>
      </c>
      <c r="J5" t="str">
        <f ca="1">IF(J4='학과별 원서접수'!$F$2,'학과별 원서접수'!L4,"아직")</f>
        <v>아직</v>
      </c>
      <c r="K5" t="str">
        <f ca="1">IF(K4='학과별 원서접수'!$F$2,'학과별 원서접수'!M4,"아직")</f>
        <v>아직</v>
      </c>
      <c r="L5" t="str">
        <f ca="1">IF(L4='학과별 원서접수'!$F$2,'학과별 원서접수'!N4,"아직")</f>
        <v>아직</v>
      </c>
      <c r="M5" t="str">
        <f ca="1">IF(M4='학과별 원서접수'!$F$2,'학과별 원서접수'!O4,"아직")</f>
        <v>아직</v>
      </c>
      <c r="N5" t="str">
        <f ca="1">IF(N4='학과별 원서접수'!$F$2,'학과별 원서접수'!P4,"아직")</f>
        <v>아직</v>
      </c>
      <c r="O5" t="str">
        <f ca="1">IF(O4='학과별 원서접수'!$F$2,'학과별 원서접수'!Q4,"아직")</f>
        <v>아직</v>
      </c>
      <c r="P5" t="str">
        <f ca="1">IF(P4='학과별 원서접수'!$F$2,'학과별 원서접수'!R4,"아직")</f>
        <v>아직</v>
      </c>
      <c r="Q5" t="str">
        <f ca="1">IF(Q4='학과별 원서접수'!$F$2,'학과별 원서접수'!S4,"아직")</f>
        <v>아직</v>
      </c>
      <c r="R5" t="str">
        <f ca="1">IF(R4='학과별 원서접수'!$F$2,'학과별 원서접수'!T4,"아직")</f>
        <v>아직</v>
      </c>
      <c r="S5" s="49"/>
    </row>
    <row r="6" spans="1:19" x14ac:dyDescent="0.3">
      <c r="A6" t="s">
        <v>84</v>
      </c>
      <c r="B6" t="s">
        <v>86</v>
      </c>
      <c r="C6">
        <v>18</v>
      </c>
      <c r="D6" t="str">
        <f ca="1">IF($D$4='학과별 원서접수'!$F$2,'학과별 원서접수'!F5,"아직")</f>
        <v>아직</v>
      </c>
      <c r="E6" t="str">
        <f ca="1">IF($E$4='학과별 원서접수'!$F$2,'학과별 원서접수'!G5,"아직")</f>
        <v>아직</v>
      </c>
      <c r="F6" t="str">
        <f ca="1">IF($F$4='학과별 원서접수'!$F$2,'학과별 원서접수'!H5,"아직")</f>
        <v>아직</v>
      </c>
      <c r="G6" t="str">
        <f ca="1">IF($G$4='학과별 원서접수'!$F$2,'학과별 원서접수'!I5,"아직")</f>
        <v>아직</v>
      </c>
      <c r="H6">
        <f ca="1">IF($H$4='학과별 원서접수'!$F$2,'학과별 원서접수'!J5,"아직")</f>
        <v>0</v>
      </c>
      <c r="S6" s="49"/>
    </row>
    <row r="7" spans="1:19" x14ac:dyDescent="0.3">
      <c r="A7" t="s">
        <v>84</v>
      </c>
      <c r="B7" t="s">
        <v>87</v>
      </c>
      <c r="C7">
        <v>18</v>
      </c>
      <c r="D7" t="str">
        <f ca="1">IF($D$4='학과별 원서접수'!$F$2,'학과별 원서접수'!F6,"아직")</f>
        <v>아직</v>
      </c>
      <c r="E7" t="str">
        <f ca="1">IF($E$4='학과별 원서접수'!$F$2,'학과별 원서접수'!G6,"아직")</f>
        <v>아직</v>
      </c>
      <c r="F7" t="str">
        <f ca="1">IF($F$4='학과별 원서접수'!$F$2,'학과별 원서접수'!H6,"아직")</f>
        <v>아직</v>
      </c>
      <c r="G7" t="str">
        <f ca="1">IF($G$4='학과별 원서접수'!$F$2,'학과별 원서접수'!I6,"아직")</f>
        <v>아직</v>
      </c>
      <c r="H7">
        <f ca="1">IF($H$4='학과별 원서접수'!$F$2,'학과별 원서접수'!J6,"아직")</f>
        <v>0</v>
      </c>
      <c r="S7" s="49"/>
    </row>
    <row r="8" spans="1:19" x14ac:dyDescent="0.3">
      <c r="A8" t="s">
        <v>84</v>
      </c>
      <c r="B8" t="s">
        <v>88</v>
      </c>
      <c r="C8">
        <v>16</v>
      </c>
      <c r="D8" t="str">
        <f ca="1">IF($D$4='학과별 원서접수'!$F$2,'학과별 원서접수'!F7,"아직")</f>
        <v>아직</v>
      </c>
      <c r="E8" t="str">
        <f ca="1">IF($E$4='학과별 원서접수'!$F$2,'학과별 원서접수'!G7,"아직")</f>
        <v>아직</v>
      </c>
      <c r="F8" t="str">
        <f ca="1">IF($F$4='학과별 원서접수'!$F$2,'학과별 원서접수'!H7,"아직")</f>
        <v>아직</v>
      </c>
      <c r="G8" t="str">
        <f ca="1">IF($G$4='학과별 원서접수'!$F$2,'학과별 원서접수'!I7,"아직")</f>
        <v>아직</v>
      </c>
      <c r="H8">
        <f ca="1">IF($H$4='학과별 원서접수'!$F$2,'학과별 원서접수'!J7,"아직")</f>
        <v>0</v>
      </c>
      <c r="S8" s="49"/>
    </row>
    <row r="9" spans="1:19" x14ac:dyDescent="0.3">
      <c r="A9" t="s">
        <v>84</v>
      </c>
      <c r="B9" t="s">
        <v>89</v>
      </c>
      <c r="C9">
        <v>9</v>
      </c>
      <c r="D9" t="str">
        <f ca="1">IF($D$4='학과별 원서접수'!$F$2,'학과별 원서접수'!F8,"아직")</f>
        <v>아직</v>
      </c>
      <c r="E9" t="str">
        <f ca="1">IF($E$4='학과별 원서접수'!$F$2,'학과별 원서접수'!G8,"아직")</f>
        <v>아직</v>
      </c>
      <c r="F9" t="str">
        <f ca="1">IF($F$4='학과별 원서접수'!$F$2,'학과별 원서접수'!H8,"아직")</f>
        <v>아직</v>
      </c>
      <c r="G9" t="str">
        <f ca="1">IF($G$4='학과별 원서접수'!$F$2,'학과별 원서접수'!I8,"아직")</f>
        <v>아직</v>
      </c>
      <c r="H9">
        <f ca="1">IF($H$4='학과별 원서접수'!$F$2,'학과별 원서접수'!J8,"아직")</f>
        <v>0</v>
      </c>
      <c r="S9" s="49"/>
    </row>
    <row r="10" spans="1:19" x14ac:dyDescent="0.3">
      <c r="A10" t="s">
        <v>84</v>
      </c>
      <c r="B10" t="s">
        <v>90</v>
      </c>
      <c r="C10">
        <v>18</v>
      </c>
      <c r="D10" t="str">
        <f ca="1">IF($D$4='학과별 원서접수'!$F$2,'학과별 원서접수'!F9,"아직")</f>
        <v>아직</v>
      </c>
      <c r="E10" t="str">
        <f ca="1">IF($E$4='학과별 원서접수'!$F$2,'학과별 원서접수'!G9,"아직")</f>
        <v>아직</v>
      </c>
      <c r="F10" t="str">
        <f ca="1">IF($F$4='학과별 원서접수'!$F$2,'학과별 원서접수'!H9,"아직")</f>
        <v>아직</v>
      </c>
      <c r="G10" t="str">
        <f ca="1">IF($G$4='학과별 원서접수'!$F$2,'학과별 원서접수'!I9,"아직")</f>
        <v>아직</v>
      </c>
      <c r="H10">
        <f ca="1">IF($H$4='학과별 원서접수'!$F$2,'학과별 원서접수'!J9,"아직")</f>
        <v>0</v>
      </c>
      <c r="S10" s="49"/>
    </row>
    <row r="11" spans="1:19" x14ac:dyDescent="0.3">
      <c r="A11" t="s">
        <v>84</v>
      </c>
      <c r="B11" t="s">
        <v>91</v>
      </c>
      <c r="C11">
        <v>18</v>
      </c>
      <c r="D11" t="str">
        <f ca="1">IF($D$4='학과별 원서접수'!$F$2,'학과별 원서접수'!F10,"아직")</f>
        <v>아직</v>
      </c>
      <c r="E11" t="str">
        <f ca="1">IF($E$4='학과별 원서접수'!$F$2,'학과별 원서접수'!G10,"아직")</f>
        <v>아직</v>
      </c>
      <c r="F11" t="str">
        <f ca="1">IF($F$4='학과별 원서접수'!$F$2,'학과별 원서접수'!H10,"아직")</f>
        <v>아직</v>
      </c>
      <c r="G11" t="str">
        <f ca="1">IF($G$4='학과별 원서접수'!$F$2,'학과별 원서접수'!I10,"아직")</f>
        <v>아직</v>
      </c>
      <c r="H11">
        <f ca="1">IF($H$4='학과별 원서접수'!$F$2,'학과별 원서접수'!J10,"아직")</f>
        <v>0</v>
      </c>
      <c r="S11" s="49"/>
    </row>
    <row r="12" spans="1:19" x14ac:dyDescent="0.3">
      <c r="A12" t="s">
        <v>84</v>
      </c>
      <c r="B12" t="s">
        <v>92</v>
      </c>
      <c r="C12">
        <v>15</v>
      </c>
      <c r="D12" t="str">
        <f ca="1">IF($D$4='학과별 원서접수'!$F$2,'학과별 원서접수'!F11,"아직")</f>
        <v>아직</v>
      </c>
      <c r="E12" t="str">
        <f ca="1">IF($E$4='학과별 원서접수'!$F$2,'학과별 원서접수'!G11,"아직")</f>
        <v>아직</v>
      </c>
      <c r="F12" t="str">
        <f ca="1">IF($F$4='학과별 원서접수'!$F$2,'학과별 원서접수'!H11,"아직")</f>
        <v>아직</v>
      </c>
      <c r="G12" t="str">
        <f ca="1">IF($G$4='학과별 원서접수'!$F$2,'학과별 원서접수'!I11,"아직")</f>
        <v>아직</v>
      </c>
      <c r="H12">
        <f ca="1">IF($H$4='학과별 원서접수'!$F$2,'학과별 원서접수'!J11,"아직")</f>
        <v>0</v>
      </c>
      <c r="S12" s="49"/>
    </row>
    <row r="13" spans="1:19" x14ac:dyDescent="0.3">
      <c r="A13" t="s">
        <v>84</v>
      </c>
      <c r="B13" t="s">
        <v>93</v>
      </c>
      <c r="C13">
        <v>16</v>
      </c>
      <c r="D13" t="str">
        <f ca="1">IF($D$4='학과별 원서접수'!$F$2,'학과별 원서접수'!F12,"아직")</f>
        <v>아직</v>
      </c>
      <c r="E13" t="str">
        <f ca="1">IF($E$4='학과별 원서접수'!$F$2,'학과별 원서접수'!G12,"아직")</f>
        <v>아직</v>
      </c>
      <c r="F13" t="str">
        <f ca="1">IF($F$4='학과별 원서접수'!$F$2,'학과별 원서접수'!H12,"아직")</f>
        <v>아직</v>
      </c>
      <c r="G13" t="str">
        <f ca="1">IF($G$4='학과별 원서접수'!$F$2,'학과별 원서접수'!I12,"아직")</f>
        <v>아직</v>
      </c>
      <c r="H13">
        <f ca="1">IF($H$4='학과별 원서접수'!$F$2,'학과별 원서접수'!J12,"아직")</f>
        <v>0</v>
      </c>
      <c r="S13" s="49"/>
    </row>
    <row r="14" spans="1:19" x14ac:dyDescent="0.3">
      <c r="A14" t="s">
        <v>84</v>
      </c>
      <c r="B14" t="s">
        <v>94</v>
      </c>
      <c r="C14">
        <v>18</v>
      </c>
      <c r="D14" t="str">
        <f ca="1">IF($D$4='학과별 원서접수'!$F$2,'학과별 원서접수'!F13,"아직")</f>
        <v>아직</v>
      </c>
      <c r="E14" t="str">
        <f ca="1">IF($E$4='학과별 원서접수'!$F$2,'학과별 원서접수'!G13,"아직")</f>
        <v>아직</v>
      </c>
      <c r="F14" t="str">
        <f ca="1">IF($F$4='학과별 원서접수'!$F$2,'학과별 원서접수'!H13,"아직")</f>
        <v>아직</v>
      </c>
      <c r="G14" t="str">
        <f ca="1">IF($G$4='학과별 원서접수'!$F$2,'학과별 원서접수'!I13,"아직")</f>
        <v>아직</v>
      </c>
      <c r="H14">
        <f ca="1">IF($H$4='학과별 원서접수'!$F$2,'학과별 원서접수'!J13,"아직")</f>
        <v>0</v>
      </c>
      <c r="S14" s="49"/>
    </row>
    <row r="15" spans="1:19" x14ac:dyDescent="0.3">
      <c r="A15" t="s">
        <v>84</v>
      </c>
      <c r="B15" t="s">
        <v>95</v>
      </c>
      <c r="C15">
        <v>24</v>
      </c>
      <c r="D15" t="str">
        <f ca="1">IF($D$4='학과별 원서접수'!$F$2,'학과별 원서접수'!F14,"아직")</f>
        <v>아직</v>
      </c>
      <c r="E15" t="str">
        <f ca="1">IF($E$4='학과별 원서접수'!$F$2,'학과별 원서접수'!G14,"아직")</f>
        <v>아직</v>
      </c>
      <c r="F15" t="str">
        <f ca="1">IF($F$4='학과별 원서접수'!$F$2,'학과별 원서접수'!H14,"아직")</f>
        <v>아직</v>
      </c>
      <c r="G15" t="str">
        <f ca="1">IF($G$4='학과별 원서접수'!$F$2,'학과별 원서접수'!I14,"아직")</f>
        <v>아직</v>
      </c>
      <c r="H15">
        <f ca="1">IF($H$4='학과별 원서접수'!$F$2,'학과별 원서접수'!J14,"아직")</f>
        <v>0</v>
      </c>
      <c r="S15" s="49"/>
    </row>
    <row r="16" spans="1:19" x14ac:dyDescent="0.3">
      <c r="A16" t="s">
        <v>84</v>
      </c>
      <c r="B16" t="s">
        <v>96</v>
      </c>
      <c r="C16">
        <v>19</v>
      </c>
      <c r="D16" t="str">
        <f ca="1">IF($D$4='학과별 원서접수'!$F$2,'학과별 원서접수'!F15,"아직")</f>
        <v>아직</v>
      </c>
      <c r="E16" t="str">
        <f ca="1">IF($E$4='학과별 원서접수'!$F$2,'학과별 원서접수'!G15,"아직")</f>
        <v>아직</v>
      </c>
      <c r="F16" t="str">
        <f ca="1">IF($F$4='학과별 원서접수'!$F$2,'학과별 원서접수'!H15,"아직")</f>
        <v>아직</v>
      </c>
      <c r="G16" t="str">
        <f ca="1">IF($G$4='학과별 원서접수'!$F$2,'학과별 원서접수'!I15,"아직")</f>
        <v>아직</v>
      </c>
      <c r="H16">
        <f ca="1">IF($H$4='학과별 원서접수'!$F$2,'학과별 원서접수'!J15,"아직")</f>
        <v>0</v>
      </c>
      <c r="S16" s="49"/>
    </row>
    <row r="17" spans="1:19" x14ac:dyDescent="0.3">
      <c r="A17" t="s">
        <v>84</v>
      </c>
      <c r="B17" t="s">
        <v>97</v>
      </c>
      <c r="C17">
        <v>18</v>
      </c>
      <c r="D17" t="str">
        <f ca="1">IF($D$4='학과별 원서접수'!$F$2,'학과별 원서접수'!F16,"아직")</f>
        <v>아직</v>
      </c>
      <c r="E17" t="str">
        <f ca="1">IF($E$4='학과별 원서접수'!$F$2,'학과별 원서접수'!G16,"아직")</f>
        <v>아직</v>
      </c>
      <c r="F17" t="str">
        <f ca="1">IF($F$4='학과별 원서접수'!$F$2,'학과별 원서접수'!H16,"아직")</f>
        <v>아직</v>
      </c>
      <c r="G17" t="str">
        <f ca="1">IF($G$4='학과별 원서접수'!$F$2,'학과별 원서접수'!I16,"아직")</f>
        <v>아직</v>
      </c>
      <c r="H17">
        <f ca="1">IF($H$4='학과별 원서접수'!$F$2,'학과별 원서접수'!J16,"아직")</f>
        <v>0</v>
      </c>
      <c r="S17" s="49"/>
    </row>
    <row r="18" spans="1:19" x14ac:dyDescent="0.3">
      <c r="A18" t="s">
        <v>84</v>
      </c>
      <c r="B18" t="s">
        <v>98</v>
      </c>
      <c r="C18">
        <v>12</v>
      </c>
      <c r="D18" t="str">
        <f ca="1">IF($D$4='학과별 원서접수'!$F$2,'학과별 원서접수'!F17,"아직")</f>
        <v>아직</v>
      </c>
      <c r="E18" t="str">
        <f ca="1">IF($E$4='학과별 원서접수'!$F$2,'학과별 원서접수'!G17,"아직")</f>
        <v>아직</v>
      </c>
      <c r="F18" t="str">
        <f ca="1">IF($F$4='학과별 원서접수'!$F$2,'학과별 원서접수'!H17,"아직")</f>
        <v>아직</v>
      </c>
      <c r="G18" t="str">
        <f ca="1">IF($G$4='학과별 원서접수'!$F$2,'학과별 원서접수'!I17,"아직")</f>
        <v>아직</v>
      </c>
      <c r="H18">
        <f ca="1">IF($H$4='학과별 원서접수'!$F$2,'학과별 원서접수'!J17,"아직")</f>
        <v>0</v>
      </c>
      <c r="S18" s="49"/>
    </row>
    <row r="19" spans="1:19" x14ac:dyDescent="0.3">
      <c r="A19" t="s">
        <v>84</v>
      </c>
      <c r="B19" t="s">
        <v>99</v>
      </c>
      <c r="C19">
        <v>18</v>
      </c>
      <c r="D19" t="str">
        <f ca="1">IF($D$4='학과별 원서접수'!$F$2,'학과별 원서접수'!F18,"아직")</f>
        <v>아직</v>
      </c>
      <c r="E19" t="str">
        <f ca="1">IF($E$4='학과별 원서접수'!$F$2,'학과별 원서접수'!G18,"아직")</f>
        <v>아직</v>
      </c>
      <c r="F19" t="str">
        <f ca="1">IF($F$4='학과별 원서접수'!$F$2,'학과별 원서접수'!H18,"아직")</f>
        <v>아직</v>
      </c>
      <c r="G19" t="str">
        <f ca="1">IF($G$4='학과별 원서접수'!$F$2,'학과별 원서접수'!I18,"아직")</f>
        <v>아직</v>
      </c>
      <c r="H19">
        <f ca="1">IF($H$4='학과별 원서접수'!$F$2,'학과별 원서접수'!J18,"아직")</f>
        <v>0</v>
      </c>
      <c r="S19" s="49"/>
    </row>
    <row r="20" spans="1:19" x14ac:dyDescent="0.3">
      <c r="A20" t="s">
        <v>84</v>
      </c>
      <c r="B20" t="s">
        <v>100</v>
      </c>
      <c r="C20">
        <v>16</v>
      </c>
      <c r="D20" t="str">
        <f ca="1">IF($D$4='학과별 원서접수'!$F$2,'학과별 원서접수'!F19,"아직")</f>
        <v>아직</v>
      </c>
      <c r="E20" t="str">
        <f ca="1">IF($E$4='학과별 원서접수'!$F$2,'학과별 원서접수'!G19,"아직")</f>
        <v>아직</v>
      </c>
      <c r="F20" t="str">
        <f ca="1">IF($F$4='학과별 원서접수'!$F$2,'학과별 원서접수'!H19,"아직")</f>
        <v>아직</v>
      </c>
      <c r="G20" t="str">
        <f ca="1">IF($G$4='학과별 원서접수'!$F$2,'학과별 원서접수'!I19,"아직")</f>
        <v>아직</v>
      </c>
      <c r="H20">
        <f ca="1">IF($H$4='학과별 원서접수'!$F$2,'학과별 원서접수'!J19,"아직")</f>
        <v>0</v>
      </c>
      <c r="S20" s="49"/>
    </row>
    <row r="21" spans="1:19" x14ac:dyDescent="0.3">
      <c r="A21" t="s">
        <v>84</v>
      </c>
      <c r="B21" t="s">
        <v>101</v>
      </c>
      <c r="C21">
        <v>24</v>
      </c>
      <c r="D21" t="str">
        <f ca="1">IF($D$4='학과별 원서접수'!$F$2,'학과별 원서접수'!F20,"아직")</f>
        <v>아직</v>
      </c>
      <c r="E21" t="str">
        <f ca="1">IF($E$4='학과별 원서접수'!$F$2,'학과별 원서접수'!G20,"아직")</f>
        <v>아직</v>
      </c>
      <c r="F21" t="str">
        <f ca="1">IF($F$4='학과별 원서접수'!$F$2,'학과별 원서접수'!H20,"아직")</f>
        <v>아직</v>
      </c>
      <c r="G21" t="str">
        <f ca="1">IF($G$4='학과별 원서접수'!$F$2,'학과별 원서접수'!I20,"아직")</f>
        <v>아직</v>
      </c>
      <c r="H21">
        <f ca="1">IF($H$4='학과별 원서접수'!$F$2,'학과별 원서접수'!J20,"아직")</f>
        <v>0</v>
      </c>
      <c r="S21" s="49"/>
    </row>
    <row r="22" spans="1:19" x14ac:dyDescent="0.3">
      <c r="A22" t="s">
        <v>84</v>
      </c>
      <c r="B22" t="s">
        <v>102</v>
      </c>
      <c r="C22">
        <v>18</v>
      </c>
      <c r="D22" t="str">
        <f ca="1">IF($D$4='학과별 원서접수'!$F$2,'학과별 원서접수'!F21,"아직")</f>
        <v>아직</v>
      </c>
      <c r="E22" t="str">
        <f ca="1">IF($E$4='학과별 원서접수'!$F$2,'학과별 원서접수'!G21,"아직")</f>
        <v>아직</v>
      </c>
      <c r="F22" t="str">
        <f ca="1">IF($F$4='학과별 원서접수'!$F$2,'학과별 원서접수'!H21,"아직")</f>
        <v>아직</v>
      </c>
      <c r="G22" t="str">
        <f ca="1">IF($G$4='학과별 원서접수'!$F$2,'학과별 원서접수'!I21,"아직")</f>
        <v>아직</v>
      </c>
      <c r="H22">
        <f ca="1">IF($H$4='학과별 원서접수'!$F$2,'학과별 원서접수'!J21,"아직")</f>
        <v>0</v>
      </c>
      <c r="S22" s="49"/>
    </row>
    <row r="23" spans="1:19" x14ac:dyDescent="0.3">
      <c r="A23" t="s">
        <v>84</v>
      </c>
      <c r="B23" t="s">
        <v>103</v>
      </c>
      <c r="C23">
        <v>18</v>
      </c>
      <c r="D23" t="str">
        <f ca="1">IF($D$4='학과별 원서접수'!$F$2,'학과별 원서접수'!F22,"아직")</f>
        <v>아직</v>
      </c>
      <c r="E23" t="str">
        <f ca="1">IF($E$4='학과별 원서접수'!$F$2,'학과별 원서접수'!G22,"아직")</f>
        <v>아직</v>
      </c>
      <c r="F23" t="str">
        <f ca="1">IF($F$4='학과별 원서접수'!$F$2,'학과별 원서접수'!H22,"아직")</f>
        <v>아직</v>
      </c>
      <c r="G23" t="str">
        <f ca="1">IF($G$4='학과별 원서접수'!$F$2,'학과별 원서접수'!I22,"아직")</f>
        <v>아직</v>
      </c>
      <c r="H23">
        <f ca="1">IF($H$4='학과별 원서접수'!$F$2,'학과별 원서접수'!J22,"아직")</f>
        <v>0</v>
      </c>
      <c r="S23" s="49"/>
    </row>
    <row r="24" spans="1:19" x14ac:dyDescent="0.3">
      <c r="A24" t="s">
        <v>84</v>
      </c>
      <c r="B24" t="s">
        <v>104</v>
      </c>
      <c r="C24">
        <v>18</v>
      </c>
      <c r="D24" t="str">
        <f ca="1">IF($D$4='학과별 원서접수'!$F$2,'학과별 원서접수'!F23,"아직")</f>
        <v>아직</v>
      </c>
      <c r="E24" t="str">
        <f ca="1">IF($E$4='학과별 원서접수'!$F$2,'학과별 원서접수'!G23,"아직")</f>
        <v>아직</v>
      </c>
      <c r="F24" t="str">
        <f ca="1">IF($F$4='학과별 원서접수'!$F$2,'학과별 원서접수'!H23,"아직")</f>
        <v>아직</v>
      </c>
      <c r="G24" t="str">
        <f ca="1">IF($G$4='학과별 원서접수'!$F$2,'학과별 원서접수'!I23,"아직")</f>
        <v>아직</v>
      </c>
      <c r="H24">
        <f ca="1">IF($H$4='학과별 원서접수'!$F$2,'학과별 원서접수'!J23,"아직")</f>
        <v>0</v>
      </c>
      <c r="S24" s="49"/>
    </row>
    <row r="25" spans="1:19" x14ac:dyDescent="0.3">
      <c r="A25" t="s">
        <v>105</v>
      </c>
      <c r="B25" t="s">
        <v>106</v>
      </c>
      <c r="C25">
        <v>15</v>
      </c>
      <c r="D25" t="str">
        <f ca="1">IF($D$4='학과별 원서접수'!$F$2,'학과별 원서접수'!F24,"아직")</f>
        <v>아직</v>
      </c>
      <c r="E25" t="str">
        <f ca="1">IF($E$4='학과별 원서접수'!$F$2,'학과별 원서접수'!G24,"아직")</f>
        <v>아직</v>
      </c>
      <c r="F25" t="str">
        <f ca="1">IF($F$4='학과별 원서접수'!$F$2,'학과별 원서접수'!H24,"아직")</f>
        <v>아직</v>
      </c>
      <c r="G25" t="str">
        <f ca="1">IF($G$4='학과별 원서접수'!$F$2,'학과별 원서접수'!I24,"아직")</f>
        <v>아직</v>
      </c>
      <c r="H25">
        <f ca="1">IF($H$4='학과별 원서접수'!$F$2,'학과별 원서접수'!J24,"아직")</f>
        <v>0</v>
      </c>
      <c r="S25" s="49"/>
    </row>
    <row r="26" spans="1:19" x14ac:dyDescent="0.3">
      <c r="A26" t="s">
        <v>105</v>
      </c>
      <c r="B26" t="s">
        <v>107</v>
      </c>
      <c r="C26">
        <v>14</v>
      </c>
      <c r="D26" t="str">
        <f ca="1">IF($D$4='학과별 원서접수'!$F$2,'학과별 원서접수'!F25,"아직")</f>
        <v>아직</v>
      </c>
      <c r="E26" t="str">
        <f ca="1">IF($E$4='학과별 원서접수'!$F$2,'학과별 원서접수'!G25,"아직")</f>
        <v>아직</v>
      </c>
      <c r="F26" t="str">
        <f ca="1">IF($F$4='학과별 원서접수'!$F$2,'학과별 원서접수'!H25,"아직")</f>
        <v>아직</v>
      </c>
      <c r="G26" t="str">
        <f ca="1">IF($G$4='학과별 원서접수'!$F$2,'학과별 원서접수'!I25,"아직")</f>
        <v>아직</v>
      </c>
      <c r="H26">
        <f ca="1">IF($H$4='학과별 원서접수'!$F$2,'학과별 원서접수'!J25,"아직")</f>
        <v>0</v>
      </c>
      <c r="S26" s="49"/>
    </row>
    <row r="27" spans="1:19" x14ac:dyDescent="0.3">
      <c r="A27" t="s">
        <v>108</v>
      </c>
      <c r="B27" t="s">
        <v>109</v>
      </c>
      <c r="C27">
        <v>32</v>
      </c>
      <c r="D27" t="str">
        <f ca="1">IF($D$4='학과별 원서접수'!$F$2,'학과별 원서접수'!F26,"아직")</f>
        <v>아직</v>
      </c>
      <c r="E27" t="str">
        <f ca="1">IF($E$4='학과별 원서접수'!$F$2,'학과별 원서접수'!G26,"아직")</f>
        <v>아직</v>
      </c>
      <c r="F27" t="str">
        <f ca="1">IF($F$4='학과별 원서접수'!$F$2,'학과별 원서접수'!H26,"아직")</f>
        <v>아직</v>
      </c>
      <c r="G27" t="str">
        <f ca="1">IF($G$4='학과별 원서접수'!$F$2,'학과별 원서접수'!I26,"아직")</f>
        <v>아직</v>
      </c>
      <c r="H27">
        <f ca="1">IF($H$4='학과별 원서접수'!$F$2,'학과별 원서접수'!J26,"아직")</f>
        <v>0</v>
      </c>
      <c r="S27" s="49"/>
    </row>
    <row r="28" spans="1:19" x14ac:dyDescent="0.3">
      <c r="A28" t="s">
        <v>108</v>
      </c>
      <c r="B28" t="s">
        <v>110</v>
      </c>
      <c r="C28">
        <v>18</v>
      </c>
      <c r="D28" t="str">
        <f ca="1">IF($D$4='학과별 원서접수'!$F$2,'학과별 원서접수'!F27,"아직")</f>
        <v>아직</v>
      </c>
      <c r="E28" t="str">
        <f ca="1">IF($E$4='학과별 원서접수'!$F$2,'학과별 원서접수'!G27,"아직")</f>
        <v>아직</v>
      </c>
      <c r="F28" t="str">
        <f ca="1">IF($F$4='학과별 원서접수'!$F$2,'학과별 원서접수'!H27,"아직")</f>
        <v>아직</v>
      </c>
      <c r="G28" t="str">
        <f ca="1">IF($G$4='학과별 원서접수'!$F$2,'학과별 원서접수'!I27,"아직")</f>
        <v>아직</v>
      </c>
      <c r="H28">
        <f ca="1">IF($H$4='학과별 원서접수'!$F$2,'학과별 원서접수'!J27,"아직")</f>
        <v>0</v>
      </c>
      <c r="S28" s="49"/>
    </row>
    <row r="29" spans="1:19" x14ac:dyDescent="0.3">
      <c r="A29" t="s">
        <v>108</v>
      </c>
      <c r="B29" t="s">
        <v>111</v>
      </c>
      <c r="C29">
        <v>18</v>
      </c>
      <c r="D29" t="str">
        <f ca="1">IF($D$4='학과별 원서접수'!$F$2,'학과별 원서접수'!F28,"아직")</f>
        <v>아직</v>
      </c>
      <c r="E29" t="str">
        <f ca="1">IF($E$4='학과별 원서접수'!$F$2,'학과별 원서접수'!G28,"아직")</f>
        <v>아직</v>
      </c>
      <c r="F29" t="str">
        <f ca="1">IF($F$4='학과별 원서접수'!$F$2,'학과별 원서접수'!H28,"아직")</f>
        <v>아직</v>
      </c>
      <c r="G29" t="str">
        <f ca="1">IF($G$4='학과별 원서접수'!$F$2,'학과별 원서접수'!I28,"아직")</f>
        <v>아직</v>
      </c>
      <c r="H29">
        <f ca="1">IF($H$4='학과별 원서접수'!$F$2,'학과별 원서접수'!J28,"아직")</f>
        <v>0</v>
      </c>
      <c r="S29" s="49"/>
    </row>
    <row r="30" spans="1:19" x14ac:dyDescent="0.3">
      <c r="A30" t="s">
        <v>108</v>
      </c>
      <c r="B30" t="s">
        <v>112</v>
      </c>
      <c r="C30">
        <v>18</v>
      </c>
      <c r="D30" t="str">
        <f ca="1">IF($D$4='학과별 원서접수'!$F$2,'학과별 원서접수'!F29,"아직")</f>
        <v>아직</v>
      </c>
      <c r="E30" t="str">
        <f ca="1">IF($E$4='학과별 원서접수'!$F$2,'학과별 원서접수'!G29,"아직")</f>
        <v>아직</v>
      </c>
      <c r="F30" t="str">
        <f ca="1">IF($F$4='학과별 원서접수'!$F$2,'학과별 원서접수'!H29,"아직")</f>
        <v>아직</v>
      </c>
      <c r="G30" t="str">
        <f ca="1">IF($G$4='학과별 원서접수'!$F$2,'학과별 원서접수'!I29,"아직")</f>
        <v>아직</v>
      </c>
      <c r="H30">
        <f ca="1">IF($H$4='학과별 원서접수'!$F$2,'학과별 원서접수'!J29,"아직")</f>
        <v>0</v>
      </c>
      <c r="S30" s="49"/>
    </row>
    <row r="31" spans="1:19" x14ac:dyDescent="0.3">
      <c r="A31" t="s">
        <v>108</v>
      </c>
      <c r="B31" t="s">
        <v>113</v>
      </c>
      <c r="C31">
        <v>16</v>
      </c>
      <c r="D31" t="str">
        <f ca="1">IF($D$4='학과별 원서접수'!$F$2,'학과별 원서접수'!F30,"아직")</f>
        <v>아직</v>
      </c>
      <c r="E31" t="str">
        <f ca="1">IF($E$4='학과별 원서접수'!$F$2,'학과별 원서접수'!G30,"아직")</f>
        <v>아직</v>
      </c>
      <c r="F31" t="str">
        <f ca="1">IF($F$4='학과별 원서접수'!$F$2,'학과별 원서접수'!H30,"아직")</f>
        <v>아직</v>
      </c>
      <c r="G31" t="str">
        <f ca="1">IF($G$4='학과별 원서접수'!$F$2,'학과별 원서접수'!I30,"아직")</f>
        <v>아직</v>
      </c>
      <c r="H31">
        <f ca="1">IF($H$4='학과별 원서접수'!$F$2,'학과별 원서접수'!J30,"아직")</f>
        <v>0</v>
      </c>
      <c r="S31" s="49"/>
    </row>
    <row r="32" spans="1:19" x14ac:dyDescent="0.3">
      <c r="A32" t="s">
        <v>108</v>
      </c>
      <c r="B32" t="s">
        <v>114</v>
      </c>
      <c r="C32">
        <v>12</v>
      </c>
      <c r="D32" t="str">
        <f ca="1">IF($D$4='학과별 원서접수'!$F$2,'학과별 원서접수'!F31,"아직")</f>
        <v>아직</v>
      </c>
      <c r="E32" t="str">
        <f ca="1">IF($E$4='학과별 원서접수'!$F$2,'학과별 원서접수'!G31,"아직")</f>
        <v>아직</v>
      </c>
      <c r="F32" t="str">
        <f ca="1">IF($F$4='학과별 원서접수'!$F$2,'학과별 원서접수'!H31,"아직")</f>
        <v>아직</v>
      </c>
      <c r="G32" t="str">
        <f ca="1">IF($G$4='학과별 원서접수'!$F$2,'학과별 원서접수'!I31,"아직")</f>
        <v>아직</v>
      </c>
      <c r="H32">
        <f ca="1">IF($H$4='학과별 원서접수'!$F$2,'학과별 원서접수'!J31,"아직")</f>
        <v>0</v>
      </c>
      <c r="S32" s="49"/>
    </row>
    <row r="33" spans="1:19" x14ac:dyDescent="0.3">
      <c r="A33" t="s">
        <v>105</v>
      </c>
      <c r="B33" t="s">
        <v>115</v>
      </c>
      <c r="C33">
        <v>12</v>
      </c>
      <c r="D33" t="str">
        <f ca="1">IF($D$4='학과별 원서접수'!$F$2,'학과별 원서접수'!F32,"아직")</f>
        <v>아직</v>
      </c>
      <c r="E33" t="str">
        <f ca="1">IF($E$4='학과별 원서접수'!$F$2,'학과별 원서접수'!G32,"아직")</f>
        <v>아직</v>
      </c>
      <c r="F33" t="str">
        <f ca="1">IF($F$4='학과별 원서접수'!$F$2,'학과별 원서접수'!H32,"아직")</f>
        <v>아직</v>
      </c>
      <c r="G33" t="str">
        <f ca="1">IF($G$4='학과별 원서접수'!$F$2,'학과별 원서접수'!I32,"아직")</f>
        <v>아직</v>
      </c>
      <c r="H33">
        <f ca="1">IF($H$4='학과별 원서접수'!$F$2,'학과별 원서접수'!J32,"아직")</f>
        <v>0</v>
      </c>
      <c r="S33" s="49"/>
    </row>
    <row r="34" spans="1:19" x14ac:dyDescent="0.3">
      <c r="A34" t="s">
        <v>116</v>
      </c>
      <c r="B34" t="s">
        <v>116</v>
      </c>
      <c r="C34">
        <v>498</v>
      </c>
      <c r="D34">
        <f ca="1">SUBTOTAL(109,D5:D33)</f>
        <v>0</v>
      </c>
      <c r="E34" t="str">
        <f ca="1">IF($E$4='학과별 원서접수'!$F$2,'학과별 원서접수'!G33,"아직")</f>
        <v>아직</v>
      </c>
      <c r="F34">
        <f t="shared" ref="F34:R34" ca="1" si="0">SUBTOTAL(109,F5:F33)</f>
        <v>0</v>
      </c>
      <c r="G34">
        <f t="shared" ca="1" si="0"/>
        <v>0</v>
      </c>
      <c r="H34">
        <f t="shared" ca="1" si="0"/>
        <v>0</v>
      </c>
      <c r="I34">
        <f t="shared" ca="1" si="0"/>
        <v>0</v>
      </c>
      <c r="J34">
        <f t="shared" ca="1" si="0"/>
        <v>0</v>
      </c>
      <c r="K34">
        <f t="shared" ca="1" si="0"/>
        <v>0</v>
      </c>
      <c r="L34">
        <f t="shared" ca="1" si="0"/>
        <v>0</v>
      </c>
      <c r="M34">
        <f t="shared" ca="1" si="0"/>
        <v>0</v>
      </c>
      <c r="N34">
        <f t="shared" ca="1" si="0"/>
        <v>0</v>
      </c>
      <c r="O34">
        <f t="shared" ca="1" si="0"/>
        <v>0</v>
      </c>
      <c r="P34">
        <f t="shared" ca="1" si="0"/>
        <v>0</v>
      </c>
      <c r="Q34">
        <f t="shared" ca="1" si="0"/>
        <v>0</v>
      </c>
      <c r="R34">
        <f t="shared" ca="1" si="0"/>
        <v>0</v>
      </c>
      <c r="S34" s="49"/>
    </row>
    <row r="38" spans="1:19" x14ac:dyDescent="0.3">
      <c r="A38" t="s">
        <v>133</v>
      </c>
      <c r="B38" t="s">
        <v>134</v>
      </c>
      <c r="C38" t="s">
        <v>136</v>
      </c>
      <c r="D38" t="s">
        <v>190</v>
      </c>
      <c r="E38" t="s">
        <v>191</v>
      </c>
      <c r="F38" t="s">
        <v>192</v>
      </c>
      <c r="G38" t="s">
        <v>193</v>
      </c>
      <c r="H38" t="s">
        <v>194</v>
      </c>
      <c r="I38" t="s">
        <v>195</v>
      </c>
      <c r="J38" t="s">
        <v>196</v>
      </c>
      <c r="K38" t="s">
        <v>197</v>
      </c>
      <c r="L38" t="s">
        <v>198</v>
      </c>
      <c r="M38" t="s">
        <v>199</v>
      </c>
      <c r="N38" t="s">
        <v>200</v>
      </c>
      <c r="O38" t="s">
        <v>201</v>
      </c>
      <c r="P38" t="s">
        <v>202</v>
      </c>
      <c r="Q38" t="s">
        <v>203</v>
      </c>
      <c r="R38" t="s">
        <v>204</v>
      </c>
      <c r="S38" t="s">
        <v>208</v>
      </c>
    </row>
    <row r="39" spans="1:19" x14ac:dyDescent="0.3">
      <c r="A39" t="s">
        <v>322</v>
      </c>
      <c r="B39" t="s">
        <v>83</v>
      </c>
      <c r="D39" t="s">
        <v>323</v>
      </c>
    </row>
    <row r="40" spans="1:19" x14ac:dyDescent="0.3">
      <c r="C40" t="s">
        <v>324</v>
      </c>
      <c r="D40" s="47">
        <v>45968</v>
      </c>
      <c r="E40" s="47">
        <v>45969</v>
      </c>
      <c r="F40" s="47">
        <v>45970</v>
      </c>
      <c r="G40" s="47">
        <v>45971</v>
      </c>
      <c r="H40" s="47">
        <v>45972</v>
      </c>
      <c r="I40" s="47">
        <v>45973</v>
      </c>
      <c r="J40" s="47">
        <v>45974</v>
      </c>
      <c r="K40" s="47">
        <v>45975</v>
      </c>
      <c r="L40" s="47">
        <v>45976</v>
      </c>
      <c r="M40" s="47">
        <v>45977</v>
      </c>
      <c r="N40" s="47">
        <v>45978</v>
      </c>
      <c r="O40" s="47">
        <v>45979</v>
      </c>
      <c r="P40" s="47">
        <v>45980</v>
      </c>
      <c r="Q40" s="47">
        <v>45981</v>
      </c>
      <c r="R40" s="48">
        <v>45982</v>
      </c>
    </row>
    <row r="41" spans="1:19" x14ac:dyDescent="0.3">
      <c r="A41" t="s">
        <v>84</v>
      </c>
      <c r="B41" t="s">
        <v>85</v>
      </c>
      <c r="C41">
        <v>16</v>
      </c>
      <c r="D41" t="s">
        <v>325</v>
      </c>
      <c r="E41" t="s">
        <v>325</v>
      </c>
      <c r="F41" t="s">
        <v>325</v>
      </c>
      <c r="H41" t="s">
        <v>325</v>
      </c>
      <c r="I41" t="s">
        <v>325</v>
      </c>
      <c r="J41" t="s">
        <v>325</v>
      </c>
      <c r="K41" t="s">
        <v>325</v>
      </c>
      <c r="L41" t="s">
        <v>325</v>
      </c>
      <c r="M41" t="s">
        <v>325</v>
      </c>
      <c r="N41" t="s">
        <v>325</v>
      </c>
      <c r="O41" t="s">
        <v>325</v>
      </c>
      <c r="P41" t="s">
        <v>325</v>
      </c>
      <c r="Q41" t="s">
        <v>325</v>
      </c>
      <c r="R41" t="s">
        <v>325</v>
      </c>
      <c r="S41">
        <v>10</v>
      </c>
    </row>
    <row r="42" spans="1:19" x14ac:dyDescent="0.3">
      <c r="A42" t="s">
        <v>84</v>
      </c>
      <c r="B42" t="s">
        <v>86</v>
      </c>
      <c r="C42">
        <v>23</v>
      </c>
      <c r="D42" t="s">
        <v>325</v>
      </c>
      <c r="E42" t="s">
        <v>325</v>
      </c>
      <c r="F42" t="s">
        <v>325</v>
      </c>
      <c r="S42">
        <v>21</v>
      </c>
    </row>
    <row r="43" spans="1:19" x14ac:dyDescent="0.3">
      <c r="A43" t="s">
        <v>84</v>
      </c>
      <c r="B43" t="s">
        <v>87</v>
      </c>
      <c r="C43">
        <v>23</v>
      </c>
      <c r="D43" t="s">
        <v>325</v>
      </c>
      <c r="E43" t="s">
        <v>325</v>
      </c>
      <c r="F43" t="s">
        <v>325</v>
      </c>
      <c r="S43">
        <v>12</v>
      </c>
    </row>
    <row r="44" spans="1:19" x14ac:dyDescent="0.3">
      <c r="A44" t="s">
        <v>84</v>
      </c>
      <c r="B44" t="s">
        <v>88</v>
      </c>
      <c r="C44">
        <v>20</v>
      </c>
      <c r="D44" t="s">
        <v>325</v>
      </c>
      <c r="E44" t="s">
        <v>325</v>
      </c>
      <c r="F44" t="s">
        <v>325</v>
      </c>
      <c r="S44">
        <v>6</v>
      </c>
    </row>
    <row r="45" spans="1:19" x14ac:dyDescent="0.3">
      <c r="A45" t="s">
        <v>84</v>
      </c>
      <c r="B45" t="s">
        <v>89</v>
      </c>
      <c r="C45">
        <v>15</v>
      </c>
      <c r="D45" t="s">
        <v>325</v>
      </c>
      <c r="E45" t="s">
        <v>325</v>
      </c>
      <c r="F45" t="s">
        <v>325</v>
      </c>
      <c r="S45">
        <v>11</v>
      </c>
    </row>
    <row r="46" spans="1:19" x14ac:dyDescent="0.3">
      <c r="A46" t="s">
        <v>84</v>
      </c>
      <c r="B46" t="s">
        <v>90</v>
      </c>
      <c r="C46">
        <v>23</v>
      </c>
      <c r="D46" t="s">
        <v>325</v>
      </c>
      <c r="E46" t="s">
        <v>325</v>
      </c>
      <c r="F46" t="s">
        <v>325</v>
      </c>
      <c r="S46">
        <v>23</v>
      </c>
    </row>
    <row r="47" spans="1:19" x14ac:dyDescent="0.3">
      <c r="A47" t="s">
        <v>84</v>
      </c>
      <c r="B47" t="s">
        <v>91</v>
      </c>
      <c r="C47">
        <v>30</v>
      </c>
      <c r="D47" t="s">
        <v>325</v>
      </c>
      <c r="E47" t="s">
        <v>325</v>
      </c>
      <c r="F47" t="s">
        <v>325</v>
      </c>
      <c r="S47">
        <v>28</v>
      </c>
    </row>
    <row r="48" spans="1:19" x14ac:dyDescent="0.3">
      <c r="A48" t="s">
        <v>84</v>
      </c>
      <c r="B48" t="s">
        <v>92</v>
      </c>
      <c r="C48">
        <v>23</v>
      </c>
      <c r="D48" t="s">
        <v>325</v>
      </c>
      <c r="E48" t="s">
        <v>325</v>
      </c>
      <c r="F48" t="s">
        <v>325</v>
      </c>
      <c r="S48">
        <v>22</v>
      </c>
    </row>
    <row r="49" spans="1:19" x14ac:dyDescent="0.3">
      <c r="A49" t="s">
        <v>84</v>
      </c>
      <c r="B49" t="s">
        <v>93</v>
      </c>
      <c r="C49">
        <v>21</v>
      </c>
      <c r="D49" t="s">
        <v>325</v>
      </c>
      <c r="E49" t="s">
        <v>325</v>
      </c>
      <c r="F49" t="s">
        <v>325</v>
      </c>
      <c r="S49">
        <v>28</v>
      </c>
    </row>
    <row r="50" spans="1:19" x14ac:dyDescent="0.3">
      <c r="A50" t="s">
        <v>84</v>
      </c>
      <c r="B50" t="s">
        <v>94</v>
      </c>
      <c r="C50">
        <v>23</v>
      </c>
      <c r="D50" t="s">
        <v>325</v>
      </c>
      <c r="E50" t="s">
        <v>325</v>
      </c>
      <c r="F50" t="s">
        <v>325</v>
      </c>
      <c r="S50">
        <v>20</v>
      </c>
    </row>
    <row r="51" spans="1:19" x14ac:dyDescent="0.3">
      <c r="A51" t="s">
        <v>84</v>
      </c>
      <c r="B51" t="s">
        <v>95</v>
      </c>
      <c r="C51">
        <v>30</v>
      </c>
      <c r="D51" t="s">
        <v>325</v>
      </c>
      <c r="E51" t="s">
        <v>325</v>
      </c>
      <c r="F51" t="s">
        <v>325</v>
      </c>
      <c r="S51">
        <v>7</v>
      </c>
    </row>
    <row r="52" spans="1:19" x14ac:dyDescent="0.3">
      <c r="A52" t="s">
        <v>84</v>
      </c>
      <c r="B52" t="s">
        <v>96</v>
      </c>
      <c r="C52">
        <v>23</v>
      </c>
      <c r="D52" t="s">
        <v>325</v>
      </c>
      <c r="E52" t="s">
        <v>325</v>
      </c>
      <c r="F52" t="s">
        <v>325</v>
      </c>
      <c r="S52">
        <v>6</v>
      </c>
    </row>
    <row r="53" spans="1:19" x14ac:dyDescent="0.3">
      <c r="A53" t="s">
        <v>84</v>
      </c>
      <c r="B53" t="s">
        <v>97</v>
      </c>
      <c r="C53">
        <v>23</v>
      </c>
      <c r="D53" t="s">
        <v>325</v>
      </c>
      <c r="E53" t="s">
        <v>325</v>
      </c>
      <c r="F53" t="s">
        <v>325</v>
      </c>
      <c r="S53">
        <v>12</v>
      </c>
    </row>
    <row r="54" spans="1:19" x14ac:dyDescent="0.3">
      <c r="A54" t="s">
        <v>84</v>
      </c>
      <c r="B54" t="s">
        <v>98</v>
      </c>
      <c r="C54">
        <v>15</v>
      </c>
      <c r="D54" t="s">
        <v>325</v>
      </c>
      <c r="E54" t="s">
        <v>325</v>
      </c>
      <c r="F54" t="s">
        <v>325</v>
      </c>
      <c r="S54">
        <v>4</v>
      </c>
    </row>
    <row r="55" spans="1:19" x14ac:dyDescent="0.3">
      <c r="A55" t="s">
        <v>84</v>
      </c>
      <c r="B55" t="s">
        <v>99</v>
      </c>
      <c r="C55">
        <v>22</v>
      </c>
      <c r="D55" t="s">
        <v>325</v>
      </c>
      <c r="E55" t="s">
        <v>325</v>
      </c>
      <c r="F55" t="s">
        <v>325</v>
      </c>
      <c r="S55">
        <v>8</v>
      </c>
    </row>
    <row r="56" spans="1:19" x14ac:dyDescent="0.3">
      <c r="A56" t="s">
        <v>84</v>
      </c>
      <c r="B56" t="s">
        <v>100</v>
      </c>
      <c r="C56">
        <v>20</v>
      </c>
      <c r="D56" t="s">
        <v>325</v>
      </c>
      <c r="E56" t="s">
        <v>325</v>
      </c>
      <c r="F56" t="s">
        <v>325</v>
      </c>
      <c r="S56">
        <v>4</v>
      </c>
    </row>
    <row r="57" spans="1:19" x14ac:dyDescent="0.3">
      <c r="A57" t="s">
        <v>84</v>
      </c>
      <c r="B57" t="s">
        <v>101</v>
      </c>
      <c r="C57">
        <v>30</v>
      </c>
      <c r="D57" t="s">
        <v>325</v>
      </c>
      <c r="E57" t="s">
        <v>325</v>
      </c>
      <c r="F57" t="s">
        <v>325</v>
      </c>
      <c r="S57">
        <v>13</v>
      </c>
    </row>
    <row r="58" spans="1:19" x14ac:dyDescent="0.3">
      <c r="A58" t="s">
        <v>84</v>
      </c>
      <c r="B58" t="s">
        <v>102</v>
      </c>
      <c r="C58">
        <v>22</v>
      </c>
      <c r="D58" t="s">
        <v>325</v>
      </c>
      <c r="E58" t="s">
        <v>325</v>
      </c>
      <c r="F58" t="s">
        <v>325</v>
      </c>
      <c r="S58">
        <v>9</v>
      </c>
    </row>
    <row r="59" spans="1:19" x14ac:dyDescent="0.3">
      <c r="A59" t="s">
        <v>84</v>
      </c>
      <c r="B59" t="s">
        <v>103</v>
      </c>
      <c r="C59">
        <v>23</v>
      </c>
      <c r="D59" t="s">
        <v>325</v>
      </c>
      <c r="E59" t="s">
        <v>325</v>
      </c>
      <c r="F59" t="s">
        <v>325</v>
      </c>
      <c r="S59">
        <v>17</v>
      </c>
    </row>
    <row r="60" spans="1:19" x14ac:dyDescent="0.3">
      <c r="A60" t="s">
        <v>84</v>
      </c>
      <c r="B60" t="s">
        <v>104</v>
      </c>
      <c r="C60">
        <v>23</v>
      </c>
      <c r="D60" t="s">
        <v>325</v>
      </c>
      <c r="E60" t="s">
        <v>325</v>
      </c>
      <c r="F60" t="s">
        <v>325</v>
      </c>
      <c r="S60">
        <v>12</v>
      </c>
    </row>
    <row r="61" spans="1:19" x14ac:dyDescent="0.3">
      <c r="A61" t="s">
        <v>105</v>
      </c>
      <c r="B61" t="s">
        <v>106</v>
      </c>
      <c r="C61">
        <v>19</v>
      </c>
      <c r="D61" t="s">
        <v>325</v>
      </c>
      <c r="E61" t="s">
        <v>325</v>
      </c>
      <c r="F61" t="s">
        <v>325</v>
      </c>
      <c r="S61">
        <v>13</v>
      </c>
    </row>
    <row r="62" spans="1:19" x14ac:dyDescent="0.3">
      <c r="A62" t="s">
        <v>105</v>
      </c>
      <c r="B62" t="s">
        <v>107</v>
      </c>
      <c r="C62">
        <v>18</v>
      </c>
      <c r="D62" t="s">
        <v>325</v>
      </c>
      <c r="E62" t="s">
        <v>325</v>
      </c>
      <c r="F62" t="s">
        <v>325</v>
      </c>
      <c r="S62">
        <v>15</v>
      </c>
    </row>
    <row r="63" spans="1:19" x14ac:dyDescent="0.3">
      <c r="A63" t="s">
        <v>108</v>
      </c>
      <c r="B63" t="s">
        <v>109</v>
      </c>
      <c r="C63">
        <v>40</v>
      </c>
      <c r="D63" t="s">
        <v>325</v>
      </c>
      <c r="E63" t="s">
        <v>325</v>
      </c>
      <c r="F63" t="s">
        <v>325</v>
      </c>
      <c r="S63">
        <v>210</v>
      </c>
    </row>
    <row r="64" spans="1:19" x14ac:dyDescent="0.3">
      <c r="A64" t="s">
        <v>108</v>
      </c>
      <c r="B64" t="s">
        <v>110</v>
      </c>
      <c r="C64">
        <v>23</v>
      </c>
      <c r="D64" t="s">
        <v>325</v>
      </c>
      <c r="E64" t="s">
        <v>325</v>
      </c>
      <c r="F64" t="s">
        <v>325</v>
      </c>
      <c r="S64">
        <v>33</v>
      </c>
    </row>
    <row r="65" spans="1:19" x14ac:dyDescent="0.3">
      <c r="A65" t="s">
        <v>108</v>
      </c>
      <c r="B65" t="s">
        <v>111</v>
      </c>
      <c r="C65">
        <v>22</v>
      </c>
      <c r="D65" t="s">
        <v>325</v>
      </c>
      <c r="E65" t="s">
        <v>325</v>
      </c>
      <c r="F65" t="s">
        <v>325</v>
      </c>
      <c r="S65">
        <v>23</v>
      </c>
    </row>
    <row r="66" spans="1:19" x14ac:dyDescent="0.3">
      <c r="A66" t="s">
        <v>108</v>
      </c>
      <c r="B66" t="s">
        <v>112</v>
      </c>
      <c r="C66">
        <v>22</v>
      </c>
      <c r="D66" t="s">
        <v>325</v>
      </c>
      <c r="E66" t="s">
        <v>325</v>
      </c>
      <c r="F66" t="s">
        <v>325</v>
      </c>
      <c r="S66">
        <v>12</v>
      </c>
    </row>
    <row r="67" spans="1:19" x14ac:dyDescent="0.3">
      <c r="A67" t="s">
        <v>108</v>
      </c>
      <c r="B67" t="s">
        <v>113</v>
      </c>
      <c r="C67">
        <v>22</v>
      </c>
      <c r="D67" t="s">
        <v>325</v>
      </c>
      <c r="E67" t="s">
        <v>325</v>
      </c>
      <c r="F67" t="s">
        <v>325</v>
      </c>
      <c r="S67">
        <v>15</v>
      </c>
    </row>
    <row r="68" spans="1:19" x14ac:dyDescent="0.3">
      <c r="A68" t="s">
        <v>108</v>
      </c>
      <c r="B68" t="s">
        <v>114</v>
      </c>
      <c r="C68">
        <v>15</v>
      </c>
      <c r="D68" t="s">
        <v>325</v>
      </c>
      <c r="E68" t="s">
        <v>325</v>
      </c>
      <c r="F68" t="s">
        <v>325</v>
      </c>
      <c r="S68">
        <v>6</v>
      </c>
    </row>
    <row r="69" spans="1:19" x14ac:dyDescent="0.3">
      <c r="A69" t="s">
        <v>105</v>
      </c>
      <c r="B69" t="s">
        <v>115</v>
      </c>
      <c r="C69">
        <v>15</v>
      </c>
      <c r="D69" t="s">
        <v>325</v>
      </c>
      <c r="E69" t="s">
        <v>325</v>
      </c>
      <c r="F69" t="s">
        <v>325</v>
      </c>
      <c r="S69">
        <v>19</v>
      </c>
    </row>
    <row r="70" spans="1:19" x14ac:dyDescent="0.3">
      <c r="A70" t="s">
        <v>116</v>
      </c>
      <c r="B70" t="s">
        <v>116</v>
      </c>
      <c r="C70">
        <v>644</v>
      </c>
      <c r="D70">
        <v>369</v>
      </c>
      <c r="E70">
        <v>155</v>
      </c>
      <c r="F70">
        <v>162</v>
      </c>
      <c r="G70">
        <v>21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619</v>
      </c>
    </row>
  </sheetData>
  <mergeCells count="1">
    <mergeCell ref="S2:S3"/>
  </mergeCells>
  <phoneticPr fontId="2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57F4-3AF3-4CCF-A877-E5809E3DF736}">
  <sheetPr codeName="Sheet2"/>
  <dimension ref="A1:AX44"/>
  <sheetViews>
    <sheetView zoomScale="115" zoomScaleNormal="115" workbookViewId="0">
      <selection activeCell="AU2" sqref="AU2"/>
    </sheetView>
  </sheetViews>
  <sheetFormatPr defaultRowHeight="16.5" x14ac:dyDescent="0.3"/>
  <cols>
    <col min="1" max="1" width="3.875" customWidth="1"/>
    <col min="2" max="2" width="15.375" customWidth="1"/>
    <col min="3" max="3" width="7.625" customWidth="1"/>
    <col min="4" max="11" width="6.875" customWidth="1"/>
    <col min="12" max="12" width="6.5" customWidth="1"/>
    <col min="13" max="13" width="6.375" customWidth="1"/>
    <col min="14" max="22" width="6.875" customWidth="1"/>
    <col min="24" max="24" width="13.75" customWidth="1"/>
    <col min="25" max="25" width="9" hidden="1" customWidth="1"/>
    <col min="26" max="26" width="8.125" hidden="1" customWidth="1"/>
    <col min="27" max="27" width="8.25" customWidth="1"/>
    <col min="28" max="32" width="9" hidden="1" customWidth="1"/>
    <col min="33" max="33" width="0" hidden="1" customWidth="1"/>
    <col min="36" max="36" width="0" hidden="1" customWidth="1"/>
    <col min="46" max="46" width="13.75" customWidth="1"/>
    <col min="50" max="50" width="12.25" bestFit="1" customWidth="1"/>
  </cols>
  <sheetData>
    <row r="1" spans="1:50" ht="17.25" thickBot="1" x14ac:dyDescent="0.35">
      <c r="H1" s="1"/>
      <c r="I1" s="1"/>
    </row>
    <row r="2" spans="1:50" ht="17.25" thickBot="1" x14ac:dyDescent="0.35">
      <c r="B2" s="2" t="s">
        <v>0</v>
      </c>
      <c r="X2" s="119">
        <f ca="1">TODAY()</f>
        <v>45972</v>
      </c>
      <c r="AT2" s="119">
        <f ca="1">X2</f>
        <v>45972</v>
      </c>
    </row>
    <row r="3" spans="1:50" x14ac:dyDescent="0.3">
      <c r="B3" s="187" t="s">
        <v>1</v>
      </c>
      <c r="C3" s="189" t="s">
        <v>2</v>
      </c>
      <c r="D3" s="189"/>
      <c r="E3" s="189"/>
      <c r="F3" s="189"/>
      <c r="G3" s="189" t="s">
        <v>3</v>
      </c>
      <c r="H3" s="189"/>
      <c r="I3" s="189"/>
      <c r="J3" s="189"/>
      <c r="K3" s="189" t="s">
        <v>4</v>
      </c>
      <c r="L3" s="189"/>
      <c r="M3" s="189"/>
      <c r="N3" s="189"/>
      <c r="O3" s="189" t="s">
        <v>5</v>
      </c>
      <c r="P3" s="189"/>
      <c r="Q3" s="190"/>
      <c r="R3" s="191"/>
      <c r="S3" s="185" t="s">
        <v>6</v>
      </c>
      <c r="T3" s="186"/>
      <c r="U3" s="186"/>
      <c r="V3" s="186"/>
      <c r="X3" s="192" t="s">
        <v>1</v>
      </c>
      <c r="Y3" s="194" t="s">
        <v>2</v>
      </c>
      <c r="Z3" s="195"/>
      <c r="AA3" s="195"/>
      <c r="AB3" s="195"/>
      <c r="AC3" s="195" t="s">
        <v>3</v>
      </c>
      <c r="AD3" s="195"/>
      <c r="AE3" s="195"/>
      <c r="AF3" s="195"/>
      <c r="AG3" s="195" t="s">
        <v>4</v>
      </c>
      <c r="AH3" s="195"/>
      <c r="AI3" s="195"/>
      <c r="AJ3" s="196"/>
      <c r="AK3" s="197" t="s">
        <v>5</v>
      </c>
      <c r="AL3" s="195"/>
      <c r="AM3" s="198"/>
      <c r="AN3" s="196"/>
      <c r="AO3" s="175" t="s">
        <v>6</v>
      </c>
      <c r="AP3" s="175"/>
      <c r="AQ3" s="175"/>
      <c r="AR3" s="176"/>
      <c r="AT3" s="173" t="s">
        <v>1</v>
      </c>
      <c r="AU3" s="175" t="s">
        <v>6</v>
      </c>
      <c r="AV3" s="175"/>
      <c r="AW3" s="175"/>
      <c r="AX3" s="176"/>
    </row>
    <row r="4" spans="1:50" x14ac:dyDescent="0.3">
      <c r="B4" s="188"/>
      <c r="C4" s="39">
        <v>2024</v>
      </c>
      <c r="D4" s="39">
        <v>2025</v>
      </c>
      <c r="E4" s="39">
        <v>2026</v>
      </c>
      <c r="F4" s="39" t="s">
        <v>7</v>
      </c>
      <c r="G4" s="39">
        <v>2024</v>
      </c>
      <c r="H4" s="39">
        <v>2025</v>
      </c>
      <c r="I4" s="39">
        <v>2026</v>
      </c>
      <c r="J4" s="39" t="s">
        <v>7</v>
      </c>
      <c r="K4" s="39">
        <v>2024</v>
      </c>
      <c r="L4" s="39">
        <v>2025</v>
      </c>
      <c r="M4" s="39">
        <v>2026</v>
      </c>
      <c r="N4" s="39" t="s">
        <v>7</v>
      </c>
      <c r="O4" s="39">
        <v>2024</v>
      </c>
      <c r="P4" s="39">
        <v>2025</v>
      </c>
      <c r="Q4" s="39">
        <v>2026</v>
      </c>
      <c r="R4" s="40" t="s">
        <v>7</v>
      </c>
      <c r="S4" s="58">
        <v>2024</v>
      </c>
      <c r="T4" s="39">
        <v>2025</v>
      </c>
      <c r="U4" s="39">
        <v>2026</v>
      </c>
      <c r="V4" s="41" t="s">
        <v>7</v>
      </c>
      <c r="X4" s="193"/>
      <c r="Y4" s="58">
        <v>2024</v>
      </c>
      <c r="Z4" s="39">
        <v>2025</v>
      </c>
      <c r="AA4" s="39">
        <v>2024</v>
      </c>
      <c r="AB4" s="39" t="s">
        <v>7</v>
      </c>
      <c r="AC4" s="39">
        <v>2024</v>
      </c>
      <c r="AD4" s="39">
        <v>2025</v>
      </c>
      <c r="AE4" s="39">
        <v>2026</v>
      </c>
      <c r="AF4" s="39" t="s">
        <v>7</v>
      </c>
      <c r="AG4" s="39">
        <v>2024</v>
      </c>
      <c r="AH4" s="39">
        <v>2025</v>
      </c>
      <c r="AI4" s="39">
        <v>2026</v>
      </c>
      <c r="AJ4" s="40" t="s">
        <v>7</v>
      </c>
      <c r="AK4" s="76">
        <v>2024</v>
      </c>
      <c r="AL4" s="39">
        <v>2025</v>
      </c>
      <c r="AM4" s="39">
        <v>2026</v>
      </c>
      <c r="AN4" s="40" t="s">
        <v>7</v>
      </c>
      <c r="AO4" s="58">
        <v>2024</v>
      </c>
      <c r="AP4" s="39">
        <v>2025</v>
      </c>
      <c r="AQ4" s="39">
        <v>2026</v>
      </c>
      <c r="AR4" s="79" t="s">
        <v>7</v>
      </c>
      <c r="AT4" s="174"/>
      <c r="AU4" s="58">
        <v>2024</v>
      </c>
      <c r="AV4" s="39">
        <v>2025</v>
      </c>
      <c r="AW4" s="39">
        <v>2026</v>
      </c>
      <c r="AX4" s="79" t="s">
        <v>296</v>
      </c>
    </row>
    <row r="5" spans="1:50" x14ac:dyDescent="0.3">
      <c r="B5" s="6" t="s">
        <v>8</v>
      </c>
      <c r="C5" s="59">
        <v>2553</v>
      </c>
      <c r="D5" s="59">
        <v>2543</v>
      </c>
      <c r="E5" s="59">
        <v>2543</v>
      </c>
      <c r="F5" s="60">
        <f>D5-E5</f>
        <v>0</v>
      </c>
      <c r="G5" s="59">
        <v>639</v>
      </c>
      <c r="H5" s="59">
        <v>644</v>
      </c>
      <c r="I5" s="59">
        <v>644</v>
      </c>
      <c r="J5" s="60">
        <f>H5-I5</f>
        <v>0</v>
      </c>
      <c r="K5" s="59">
        <v>5853</v>
      </c>
      <c r="L5" s="8">
        <v>6259</v>
      </c>
      <c r="M5" s="59">
        <f>전형별_경쟁률_현황__3[[#This Row],[지원인원]]</f>
        <v>822</v>
      </c>
      <c r="N5" s="60">
        <f>L5-M5</f>
        <v>5437</v>
      </c>
      <c r="O5" s="61">
        <v>9.15962441314554</v>
      </c>
      <c r="P5" s="62">
        <v>9.7189440993788825</v>
      </c>
      <c r="Q5" s="63" t="str">
        <f>LEFTB(전형별_경쟁률_현황__3[[#This Row],[경쟁률]],4)</f>
        <v>1.28</v>
      </c>
      <c r="R5" s="64">
        <f>P5-Q5</f>
        <v>8.4389440993788831</v>
      </c>
      <c r="S5" s="65">
        <v>6308</v>
      </c>
      <c r="T5" s="66">
        <v>6697</v>
      </c>
      <c r="U5" s="59">
        <f>'학과별 원서접수 데이터'!E10</f>
        <v>916</v>
      </c>
      <c r="V5" s="67">
        <v>389</v>
      </c>
      <c r="X5" s="80" t="s">
        <v>8</v>
      </c>
      <c r="Y5" s="77">
        <v>2553</v>
      </c>
      <c r="Z5" s="22">
        <v>2543</v>
      </c>
      <c r="AA5" s="90">
        <v>5853</v>
      </c>
      <c r="AB5" s="91">
        <f>Z5-AA5</f>
        <v>-3310</v>
      </c>
      <c r="AC5" s="90">
        <v>639</v>
      </c>
      <c r="AD5" s="90">
        <v>644</v>
      </c>
      <c r="AE5" s="90">
        <v>644</v>
      </c>
      <c r="AF5" s="91">
        <f>AD5-AE5</f>
        <v>0</v>
      </c>
      <c r="AG5" s="90">
        <v>5853</v>
      </c>
      <c r="AH5" s="92">
        <v>6259</v>
      </c>
      <c r="AI5" s="120">
        <f>M5</f>
        <v>822</v>
      </c>
      <c r="AJ5" s="93">
        <f>AH5-AI5</f>
        <v>5437</v>
      </c>
      <c r="AK5" s="94">
        <v>9.15962441314554</v>
      </c>
      <c r="AL5" s="95">
        <v>9.7189440993788825</v>
      </c>
      <c r="AM5" s="123" t="str">
        <f>LEFTB(전형별_경쟁률_현황__3[[#This Row],[경쟁률]],4)</f>
        <v>1.28</v>
      </c>
      <c r="AN5" s="96">
        <f>AL5-AM5</f>
        <v>8.4389440993788831</v>
      </c>
      <c r="AO5" s="97">
        <v>6308</v>
      </c>
      <c r="AP5" s="126">
        <v>6697</v>
      </c>
      <c r="AQ5" s="120">
        <f>U5</f>
        <v>916</v>
      </c>
      <c r="AR5" s="98">
        <f>AP5-AQ5</f>
        <v>5781</v>
      </c>
      <c r="AT5" s="113" t="s">
        <v>8</v>
      </c>
      <c r="AU5" s="65">
        <v>6308</v>
      </c>
      <c r="AV5" s="66">
        <v>6697</v>
      </c>
      <c r="AW5" s="116">
        <f>AQ5</f>
        <v>916</v>
      </c>
      <c r="AX5" s="81">
        <f>AV5-AW5</f>
        <v>5781</v>
      </c>
    </row>
    <row r="6" spans="1:50" x14ac:dyDescent="0.3">
      <c r="B6" s="10" t="s">
        <v>9</v>
      </c>
      <c r="C6" s="68">
        <v>2235</v>
      </c>
      <c r="D6" s="68">
        <v>2115</v>
      </c>
      <c r="E6" s="68">
        <v>2135</v>
      </c>
      <c r="F6" s="60">
        <f t="shared" ref="F6:F15" si="0">D6-E6</f>
        <v>-20</v>
      </c>
      <c r="G6" s="68">
        <v>654</v>
      </c>
      <c r="H6" s="68">
        <v>622</v>
      </c>
      <c r="I6" s="68">
        <v>620</v>
      </c>
      <c r="J6" s="60">
        <f>H6-I6</f>
        <v>2</v>
      </c>
      <c r="K6" s="68">
        <v>3806</v>
      </c>
      <c r="L6" s="69">
        <v>3712</v>
      </c>
      <c r="M6" s="68">
        <f>'학과별 원서접수 데이터'!C14+'학과별 원서접수 데이터'!C15</f>
        <v>350</v>
      </c>
      <c r="N6" s="60">
        <f t="shared" ref="N6:N15" si="1">L6-M6</f>
        <v>3362</v>
      </c>
      <c r="O6" s="70">
        <v>5.8195718654434252</v>
      </c>
      <c r="P6" s="71">
        <v>5.967845659163987</v>
      </c>
      <c r="Q6" s="72" t="str">
        <f>LEFTB('학과별 원서접수 데이터'!D17,4)</f>
        <v>0.47</v>
      </c>
      <c r="R6" s="64">
        <f t="shared" ref="R6:R15" si="2">P6-Q6</f>
        <v>5.4978456591639873</v>
      </c>
      <c r="S6" s="73">
        <v>3818</v>
      </c>
      <c r="T6" s="74">
        <v>3734</v>
      </c>
      <c r="U6" s="68">
        <f>'학과별 원서접수 데이터'!C17</f>
        <v>353</v>
      </c>
      <c r="V6" s="75">
        <v>-84</v>
      </c>
      <c r="X6" s="82" t="s">
        <v>9</v>
      </c>
      <c r="Y6" s="78">
        <v>2235</v>
      </c>
      <c r="Z6" s="30">
        <v>2115</v>
      </c>
      <c r="AA6" s="99">
        <v>3806</v>
      </c>
      <c r="AB6" s="91">
        <f t="shared" ref="AB6:AB15" si="3">Z6-AA6</f>
        <v>-1691</v>
      </c>
      <c r="AC6" s="99">
        <v>654</v>
      </c>
      <c r="AD6" s="99">
        <v>622</v>
      </c>
      <c r="AE6" s="99">
        <v>620</v>
      </c>
      <c r="AF6" s="91">
        <f>AD6-AE6</f>
        <v>2</v>
      </c>
      <c r="AG6" s="99">
        <v>3806</v>
      </c>
      <c r="AH6" s="100">
        <v>3712</v>
      </c>
      <c r="AI6" s="121">
        <f t="shared" ref="AI6:AI15" si="4">M6</f>
        <v>350</v>
      </c>
      <c r="AJ6" s="93">
        <f t="shared" ref="AJ6:AJ15" si="5">AH6-AI6</f>
        <v>3362</v>
      </c>
      <c r="AK6" s="101">
        <v>5.8195718654434252</v>
      </c>
      <c r="AL6" s="102">
        <v>5.967845659163987</v>
      </c>
      <c r="AM6" s="124" t="str">
        <f>LEFTB('학과별 원서접수 데이터'!D17,4)</f>
        <v>0.47</v>
      </c>
      <c r="AN6" s="96">
        <f t="shared" ref="AN6:AN15" si="6">AL6-AM6</f>
        <v>5.4978456591639873</v>
      </c>
      <c r="AO6" s="103">
        <v>3818</v>
      </c>
      <c r="AP6" s="127">
        <v>3734</v>
      </c>
      <c r="AQ6" s="121">
        <f t="shared" ref="AQ6:AQ15" si="7">U6</f>
        <v>353</v>
      </c>
      <c r="AR6" s="98">
        <f t="shared" ref="AR6:AR15" si="8">AP6-AQ6</f>
        <v>3381</v>
      </c>
      <c r="AT6" s="114" t="s">
        <v>9</v>
      </c>
      <c r="AU6" s="73">
        <v>3818</v>
      </c>
      <c r="AV6" s="74">
        <v>3734</v>
      </c>
      <c r="AW6" s="117">
        <f t="shared" ref="AW6:AW15" si="9">AQ6</f>
        <v>353</v>
      </c>
      <c r="AX6" s="81">
        <f t="shared" ref="AX6:AX15" si="10">AV6-AW6</f>
        <v>3381</v>
      </c>
    </row>
    <row r="7" spans="1:50" x14ac:dyDescent="0.3">
      <c r="B7" s="6" t="s">
        <v>10</v>
      </c>
      <c r="C7" s="59">
        <v>2426</v>
      </c>
      <c r="D7" s="59">
        <v>2280</v>
      </c>
      <c r="E7" s="59">
        <v>2314</v>
      </c>
      <c r="F7" s="60">
        <f t="shared" si="0"/>
        <v>-34</v>
      </c>
      <c r="G7" s="59">
        <v>697</v>
      </c>
      <c r="H7" s="59">
        <v>640</v>
      </c>
      <c r="I7" s="59">
        <v>659</v>
      </c>
      <c r="J7" s="60">
        <f t="shared" ref="J7:J15" si="11">H7-I7</f>
        <v>-19</v>
      </c>
      <c r="K7" s="59">
        <v>5464</v>
      </c>
      <c r="L7" s="8">
        <v>6725</v>
      </c>
      <c r="M7" s="59">
        <f>'학과별 원서접수 데이터'!C21</f>
        <v>614</v>
      </c>
      <c r="N7" s="60">
        <f t="shared" si="1"/>
        <v>6111</v>
      </c>
      <c r="O7" s="61">
        <v>7.8393113342898131</v>
      </c>
      <c r="P7" s="62">
        <v>10.5078125</v>
      </c>
      <c r="Q7" s="63" t="str">
        <f>LEFTB('학과별 원서접수 데이터'!D23,4)</f>
        <v>0.89</v>
      </c>
      <c r="R7" s="64">
        <f t="shared" si="2"/>
        <v>9.6178124999999994</v>
      </c>
      <c r="S7" s="65">
        <v>5527</v>
      </c>
      <c r="T7" s="66">
        <v>6827</v>
      </c>
      <c r="U7" s="59">
        <f>'학과별 원서접수 데이터'!C23</f>
        <v>639</v>
      </c>
      <c r="V7" s="67">
        <v>1300</v>
      </c>
      <c r="X7" s="80" t="s">
        <v>10</v>
      </c>
      <c r="Y7" s="77">
        <v>2426</v>
      </c>
      <c r="Z7" s="22">
        <v>2280</v>
      </c>
      <c r="AA7" s="90">
        <v>5464</v>
      </c>
      <c r="AB7" s="91">
        <f t="shared" si="3"/>
        <v>-3184</v>
      </c>
      <c r="AC7" s="90">
        <v>697</v>
      </c>
      <c r="AD7" s="90">
        <v>640</v>
      </c>
      <c r="AE7" s="90">
        <v>659</v>
      </c>
      <c r="AF7" s="91">
        <f t="shared" ref="AF7:AF15" si="12">AD7-AE7</f>
        <v>-19</v>
      </c>
      <c r="AG7" s="90">
        <v>5464</v>
      </c>
      <c r="AH7" s="92">
        <v>6725</v>
      </c>
      <c r="AI7" s="120">
        <f t="shared" si="4"/>
        <v>614</v>
      </c>
      <c r="AJ7" s="93">
        <f t="shared" si="5"/>
        <v>6111</v>
      </c>
      <c r="AK7" s="94">
        <v>7.8393113342898131</v>
      </c>
      <c r="AL7" s="95">
        <v>10.5078125</v>
      </c>
      <c r="AM7" s="123" t="str">
        <f>Q7</f>
        <v>0.89</v>
      </c>
      <c r="AN7" s="96">
        <f t="shared" si="6"/>
        <v>9.6178124999999994</v>
      </c>
      <c r="AO7" s="97">
        <v>5527</v>
      </c>
      <c r="AP7" s="126">
        <v>6827</v>
      </c>
      <c r="AQ7" s="120">
        <f t="shared" si="7"/>
        <v>639</v>
      </c>
      <c r="AR7" s="98">
        <f t="shared" si="8"/>
        <v>6188</v>
      </c>
      <c r="AT7" s="113" t="s">
        <v>10</v>
      </c>
      <c r="AU7" s="65">
        <v>5527</v>
      </c>
      <c r="AV7" s="66">
        <v>6827</v>
      </c>
      <c r="AW7" s="116">
        <f t="shared" si="9"/>
        <v>639</v>
      </c>
      <c r="AX7" s="81">
        <f t="shared" si="10"/>
        <v>6188</v>
      </c>
    </row>
    <row r="8" spans="1:50" x14ac:dyDescent="0.3">
      <c r="B8" s="10" t="s">
        <v>11</v>
      </c>
      <c r="C8" s="68">
        <v>2289</v>
      </c>
      <c r="D8" s="68">
        <v>2289</v>
      </c>
      <c r="E8" s="68">
        <v>2226</v>
      </c>
      <c r="F8" s="60">
        <f t="shared" si="0"/>
        <v>63</v>
      </c>
      <c r="G8" s="68">
        <v>329</v>
      </c>
      <c r="H8" s="68">
        <v>342</v>
      </c>
      <c r="I8" s="68">
        <v>376</v>
      </c>
      <c r="J8" s="60">
        <f t="shared" si="11"/>
        <v>-34</v>
      </c>
      <c r="K8" s="68">
        <v>2905</v>
      </c>
      <c r="L8" s="69">
        <v>3414</v>
      </c>
      <c r="M8" s="68">
        <f>전체_경쟁률_현황__2[지원인원]</f>
        <v>464</v>
      </c>
      <c r="N8" s="60">
        <f t="shared" si="1"/>
        <v>2950</v>
      </c>
      <c r="O8" s="70">
        <v>8.8297872340425538</v>
      </c>
      <c r="P8" s="71">
        <v>9.9824561403508767</v>
      </c>
      <c r="Q8" s="72" t="str">
        <f>LEFTB(전체_경쟁률_현황__2[경쟁률],4)</f>
        <v>1.23</v>
      </c>
      <c r="R8" s="64">
        <f t="shared" si="2"/>
        <v>8.7524561403508763</v>
      </c>
      <c r="S8" s="73">
        <v>2905</v>
      </c>
      <c r="T8" s="74">
        <v>3414</v>
      </c>
      <c r="U8" s="68">
        <f>전체_경쟁률_현황__2[지원인원]</f>
        <v>464</v>
      </c>
      <c r="V8" s="75">
        <v>509</v>
      </c>
      <c r="X8" s="82" t="s">
        <v>11</v>
      </c>
      <c r="Y8" s="78">
        <v>2289</v>
      </c>
      <c r="Z8" s="30">
        <v>2289</v>
      </c>
      <c r="AA8" s="99">
        <v>2905</v>
      </c>
      <c r="AB8" s="91">
        <f t="shared" si="3"/>
        <v>-616</v>
      </c>
      <c r="AC8" s="99">
        <v>329</v>
      </c>
      <c r="AD8" s="99">
        <v>342</v>
      </c>
      <c r="AE8" s="99">
        <v>376</v>
      </c>
      <c r="AF8" s="91">
        <f t="shared" si="12"/>
        <v>-34</v>
      </c>
      <c r="AG8" s="99">
        <v>2905</v>
      </c>
      <c r="AH8" s="100">
        <v>3414</v>
      </c>
      <c r="AI8" s="121">
        <f t="shared" si="4"/>
        <v>464</v>
      </c>
      <c r="AJ8" s="93">
        <f t="shared" si="5"/>
        <v>2950</v>
      </c>
      <c r="AK8" s="101">
        <v>8.8297872340425538</v>
      </c>
      <c r="AL8" s="102">
        <v>9.9824561403508767</v>
      </c>
      <c r="AM8" s="124" t="str">
        <f t="shared" ref="AM8:AM15" si="13">Q8</f>
        <v>1.23</v>
      </c>
      <c r="AN8" s="96">
        <f t="shared" si="6"/>
        <v>8.7524561403508763</v>
      </c>
      <c r="AO8" s="103">
        <v>2905</v>
      </c>
      <c r="AP8" s="127">
        <v>3414</v>
      </c>
      <c r="AQ8" s="121">
        <f t="shared" si="7"/>
        <v>464</v>
      </c>
      <c r="AR8" s="98">
        <f t="shared" si="8"/>
        <v>2950</v>
      </c>
      <c r="AT8" s="114" t="s">
        <v>11</v>
      </c>
      <c r="AU8" s="73">
        <v>2905</v>
      </c>
      <c r="AV8" s="74">
        <v>3414</v>
      </c>
      <c r="AW8" s="117">
        <f t="shared" si="9"/>
        <v>464</v>
      </c>
      <c r="AX8" s="81">
        <f t="shared" si="10"/>
        <v>2950</v>
      </c>
    </row>
    <row r="9" spans="1:50" x14ac:dyDescent="0.3">
      <c r="B9" s="6" t="s">
        <v>12</v>
      </c>
      <c r="C9" s="59">
        <v>2212</v>
      </c>
      <c r="D9" s="59">
        <v>2216</v>
      </c>
      <c r="E9" s="59">
        <v>2191</v>
      </c>
      <c r="F9" s="60">
        <f t="shared" si="0"/>
        <v>25</v>
      </c>
      <c r="G9" s="59">
        <v>583</v>
      </c>
      <c r="H9" s="59">
        <v>590</v>
      </c>
      <c r="I9" s="59">
        <v>587</v>
      </c>
      <c r="J9" s="60">
        <f t="shared" si="11"/>
        <v>3</v>
      </c>
      <c r="K9" s="59">
        <v>5672</v>
      </c>
      <c r="L9" s="8">
        <v>7008</v>
      </c>
      <c r="M9" s="59">
        <f>'학과별 원서접수 데이터'!D36</f>
        <v>1121</v>
      </c>
      <c r="N9" s="60">
        <f t="shared" si="1"/>
        <v>5887</v>
      </c>
      <c r="O9" s="61">
        <v>9.7289879931389365</v>
      </c>
      <c r="P9" s="62">
        <v>11.877966101694915</v>
      </c>
      <c r="Q9" s="63" t="str">
        <f>LEFTB('학과별 원서접수 데이터'!E41,4)</f>
        <v>1.86</v>
      </c>
      <c r="R9" s="64">
        <f t="shared" si="2"/>
        <v>10.017966101694915</v>
      </c>
      <c r="S9" s="65">
        <v>5676</v>
      </c>
      <c r="T9" s="66">
        <v>7019</v>
      </c>
      <c r="U9" s="59">
        <f>'학과별 원서접수 데이터'!D41</f>
        <v>1151</v>
      </c>
      <c r="V9" s="67">
        <v>1343</v>
      </c>
      <c r="X9" s="80" t="s">
        <v>12</v>
      </c>
      <c r="Y9" s="77">
        <v>2212</v>
      </c>
      <c r="Z9" s="22">
        <v>2216</v>
      </c>
      <c r="AA9" s="90">
        <v>5672</v>
      </c>
      <c r="AB9" s="91">
        <f t="shared" si="3"/>
        <v>-3456</v>
      </c>
      <c r="AC9" s="90">
        <v>583</v>
      </c>
      <c r="AD9" s="90">
        <v>590</v>
      </c>
      <c r="AE9" s="90">
        <v>587</v>
      </c>
      <c r="AF9" s="91">
        <f t="shared" si="12"/>
        <v>3</v>
      </c>
      <c r="AG9" s="90">
        <v>5672</v>
      </c>
      <c r="AH9" s="92">
        <v>7008</v>
      </c>
      <c r="AI9" s="120">
        <f t="shared" si="4"/>
        <v>1121</v>
      </c>
      <c r="AJ9" s="93">
        <f t="shared" si="5"/>
        <v>5887</v>
      </c>
      <c r="AK9" s="94">
        <v>9.7289879931389365</v>
      </c>
      <c r="AL9" s="95">
        <v>11.877966101694915</v>
      </c>
      <c r="AM9" s="123" t="str">
        <f t="shared" si="13"/>
        <v>1.86</v>
      </c>
      <c r="AN9" s="96">
        <f t="shared" si="6"/>
        <v>10.017966101694915</v>
      </c>
      <c r="AO9" s="97">
        <v>5676</v>
      </c>
      <c r="AP9" s="126">
        <v>7019</v>
      </c>
      <c r="AQ9" s="120">
        <f t="shared" si="7"/>
        <v>1151</v>
      </c>
      <c r="AR9" s="98">
        <f t="shared" si="8"/>
        <v>5868</v>
      </c>
      <c r="AT9" s="113" t="s">
        <v>12</v>
      </c>
      <c r="AU9" s="65">
        <v>5676</v>
      </c>
      <c r="AV9" s="66">
        <v>7019</v>
      </c>
      <c r="AW9" s="116">
        <f t="shared" si="9"/>
        <v>1151</v>
      </c>
      <c r="AX9" s="81">
        <f t="shared" si="10"/>
        <v>5868</v>
      </c>
    </row>
    <row r="10" spans="1:50" x14ac:dyDescent="0.3">
      <c r="A10" s="1"/>
      <c r="B10" s="10" t="s">
        <v>13</v>
      </c>
      <c r="C10" s="68">
        <v>2191</v>
      </c>
      <c r="D10" s="68">
        <v>2181</v>
      </c>
      <c r="E10" s="68">
        <v>2130</v>
      </c>
      <c r="F10" s="60">
        <f t="shared" si="0"/>
        <v>51</v>
      </c>
      <c r="G10" s="68">
        <v>642</v>
      </c>
      <c r="H10" s="68">
        <v>623</v>
      </c>
      <c r="I10" s="68">
        <v>579</v>
      </c>
      <c r="J10" s="60">
        <f t="shared" si="11"/>
        <v>44</v>
      </c>
      <c r="K10" s="68">
        <v>6531</v>
      </c>
      <c r="L10" s="69">
        <v>6407</v>
      </c>
      <c r="M10" s="68">
        <f>'학과별 원서접수 데이터'!N5</f>
        <v>818</v>
      </c>
      <c r="N10" s="60">
        <f t="shared" si="1"/>
        <v>5589</v>
      </c>
      <c r="O10" s="70">
        <v>10.172897196261681</v>
      </c>
      <c r="P10" s="71">
        <v>10.284109149277688</v>
      </c>
      <c r="Q10" s="72" t="str">
        <f>LEFTB('학과별 원서접수 데이터'!O5,4)</f>
        <v>1.41</v>
      </c>
      <c r="R10" s="64">
        <f t="shared" si="2"/>
        <v>8.8741091492776878</v>
      </c>
      <c r="S10" s="73">
        <v>6924</v>
      </c>
      <c r="T10" s="74">
        <v>6827</v>
      </c>
      <c r="U10" s="68">
        <f>전형별_경쟁률_현황__7[[#This Row],[지원인원]]</f>
        <v>906</v>
      </c>
      <c r="V10" s="75">
        <v>-97</v>
      </c>
      <c r="X10" s="82" t="s">
        <v>13</v>
      </c>
      <c r="Y10" s="78">
        <v>2191</v>
      </c>
      <c r="Z10" s="30">
        <v>2181</v>
      </c>
      <c r="AA10" s="99">
        <v>6531</v>
      </c>
      <c r="AB10" s="91">
        <f t="shared" si="3"/>
        <v>-4350</v>
      </c>
      <c r="AC10" s="99">
        <v>642</v>
      </c>
      <c r="AD10" s="99">
        <v>623</v>
      </c>
      <c r="AE10" s="99">
        <v>579</v>
      </c>
      <c r="AF10" s="91">
        <f t="shared" si="12"/>
        <v>44</v>
      </c>
      <c r="AG10" s="99">
        <v>6531</v>
      </c>
      <c r="AH10" s="100">
        <v>6407</v>
      </c>
      <c r="AI10" s="121">
        <f t="shared" si="4"/>
        <v>818</v>
      </c>
      <c r="AJ10" s="93">
        <f t="shared" si="5"/>
        <v>5589</v>
      </c>
      <c r="AK10" s="101">
        <v>10.172897196261681</v>
      </c>
      <c r="AL10" s="102">
        <v>10.284109149277688</v>
      </c>
      <c r="AM10" s="124" t="str">
        <f t="shared" si="13"/>
        <v>1.41</v>
      </c>
      <c r="AN10" s="96">
        <f t="shared" si="6"/>
        <v>8.8741091492776878</v>
      </c>
      <c r="AO10" s="103">
        <v>6924</v>
      </c>
      <c r="AP10" s="127">
        <v>6827</v>
      </c>
      <c r="AQ10" s="121">
        <f t="shared" si="7"/>
        <v>906</v>
      </c>
      <c r="AR10" s="98">
        <f t="shared" si="8"/>
        <v>5921</v>
      </c>
      <c r="AT10" s="114" t="s">
        <v>13</v>
      </c>
      <c r="AU10" s="73">
        <v>6924</v>
      </c>
      <c r="AV10" s="74">
        <v>6827</v>
      </c>
      <c r="AW10" s="117">
        <f t="shared" si="9"/>
        <v>906</v>
      </c>
      <c r="AX10" s="81">
        <f t="shared" si="10"/>
        <v>5921</v>
      </c>
    </row>
    <row r="11" spans="1:50" x14ac:dyDescent="0.3">
      <c r="B11" s="6" t="s">
        <v>14</v>
      </c>
      <c r="C11" s="59">
        <v>2167</v>
      </c>
      <c r="D11" s="59">
        <v>2164</v>
      </c>
      <c r="E11" s="59">
        <v>2190</v>
      </c>
      <c r="F11" s="60">
        <f t="shared" si="0"/>
        <v>-26</v>
      </c>
      <c r="G11" s="59">
        <v>468</v>
      </c>
      <c r="H11" s="59">
        <v>468</v>
      </c>
      <c r="I11" s="59">
        <v>480</v>
      </c>
      <c r="J11" s="60">
        <f t="shared" si="11"/>
        <v>-12</v>
      </c>
      <c r="K11" s="59">
        <v>2322</v>
      </c>
      <c r="L11" s="8">
        <v>3388</v>
      </c>
      <c r="M11" s="59">
        <f>전체_경쟁률_현황__3[지원인원]</f>
        <v>479</v>
      </c>
      <c r="N11" s="60">
        <f t="shared" si="1"/>
        <v>2909</v>
      </c>
      <c r="O11" s="61">
        <v>4.9615384615384617</v>
      </c>
      <c r="P11" s="62">
        <v>7.2393162393162394</v>
      </c>
      <c r="Q11" s="63" t="str">
        <f>LEFTB(전체_경쟁률_현황__3[지원율],4)</f>
        <v>0.93</v>
      </c>
      <c r="R11" s="64">
        <f t="shared" si="2"/>
        <v>6.3093162393162396</v>
      </c>
      <c r="S11" s="65">
        <v>2436</v>
      </c>
      <c r="T11" s="66">
        <v>3534</v>
      </c>
      <c r="U11" s="59">
        <f>전체_경쟁률_현황__3[지원인원]</f>
        <v>479</v>
      </c>
      <c r="V11" s="67">
        <v>1098</v>
      </c>
      <c r="X11" s="80" t="s">
        <v>14</v>
      </c>
      <c r="Y11" s="77">
        <v>2167</v>
      </c>
      <c r="Z11" s="22">
        <v>2164</v>
      </c>
      <c r="AA11" s="90">
        <v>2322</v>
      </c>
      <c r="AB11" s="91">
        <f t="shared" si="3"/>
        <v>-158</v>
      </c>
      <c r="AC11" s="90">
        <v>468</v>
      </c>
      <c r="AD11" s="90">
        <v>468</v>
      </c>
      <c r="AE11" s="90">
        <v>480</v>
      </c>
      <c r="AF11" s="91">
        <f t="shared" si="12"/>
        <v>-12</v>
      </c>
      <c r="AG11" s="90">
        <v>2322</v>
      </c>
      <c r="AH11" s="92">
        <v>3388</v>
      </c>
      <c r="AI11" s="120">
        <f t="shared" si="4"/>
        <v>479</v>
      </c>
      <c r="AJ11" s="93">
        <f t="shared" si="5"/>
        <v>2909</v>
      </c>
      <c r="AK11" s="94">
        <v>4.9615384615384617</v>
      </c>
      <c r="AL11" s="95">
        <v>7.2393162393162394</v>
      </c>
      <c r="AM11" s="123" t="str">
        <f t="shared" si="13"/>
        <v>0.93</v>
      </c>
      <c r="AN11" s="96">
        <f t="shared" si="6"/>
        <v>6.3093162393162396</v>
      </c>
      <c r="AO11" s="97">
        <v>2436</v>
      </c>
      <c r="AP11" s="126">
        <v>3534</v>
      </c>
      <c r="AQ11" s="120">
        <f t="shared" si="7"/>
        <v>479</v>
      </c>
      <c r="AR11" s="98">
        <f t="shared" si="8"/>
        <v>3055</v>
      </c>
      <c r="AT11" s="113" t="s">
        <v>14</v>
      </c>
      <c r="AU11" s="65">
        <v>2436</v>
      </c>
      <c r="AV11" s="66">
        <v>3534</v>
      </c>
      <c r="AW11" s="116">
        <f t="shared" si="9"/>
        <v>479</v>
      </c>
      <c r="AX11" s="81">
        <f t="shared" si="10"/>
        <v>3055</v>
      </c>
    </row>
    <row r="12" spans="1:50" x14ac:dyDescent="0.3">
      <c r="A12" s="1"/>
      <c r="B12" s="10" t="s">
        <v>15</v>
      </c>
      <c r="C12" s="68">
        <v>1703</v>
      </c>
      <c r="D12" s="68">
        <v>1695</v>
      </c>
      <c r="E12" s="68">
        <v>1691</v>
      </c>
      <c r="F12" s="60">
        <f t="shared" si="0"/>
        <v>4</v>
      </c>
      <c r="G12" s="68">
        <v>231</v>
      </c>
      <c r="H12" s="68">
        <v>212</v>
      </c>
      <c r="I12" s="68">
        <v>263</v>
      </c>
      <c r="J12" s="60">
        <f t="shared" si="11"/>
        <v>-51</v>
      </c>
      <c r="K12" s="68">
        <v>2745</v>
      </c>
      <c r="L12" s="69">
        <v>3120</v>
      </c>
      <c r="M12" s="68">
        <f>'학과별 원서접수 데이터'!N21</f>
        <v>467</v>
      </c>
      <c r="N12" s="60">
        <f t="shared" si="1"/>
        <v>2653</v>
      </c>
      <c r="O12" s="70">
        <v>11.883116883116884</v>
      </c>
      <c r="P12" s="71">
        <v>14.716981132075471</v>
      </c>
      <c r="Q12" s="72" t="str">
        <f>LEFTB('학과별 원서접수 데이터'!O28,4)</f>
        <v>1.19</v>
      </c>
      <c r="R12" s="64">
        <f t="shared" si="2"/>
        <v>13.526981132075472</v>
      </c>
      <c r="S12" s="73">
        <v>2926</v>
      </c>
      <c r="T12" s="74">
        <v>3307</v>
      </c>
      <c r="U12" s="68">
        <f>'학과별 원서접수 데이터'!N28</f>
        <v>500</v>
      </c>
      <c r="V12" s="75">
        <v>381</v>
      </c>
      <c r="X12" s="82" t="s">
        <v>15</v>
      </c>
      <c r="Y12" s="78">
        <v>1703</v>
      </c>
      <c r="Z12" s="30">
        <v>1695</v>
      </c>
      <c r="AA12" s="99">
        <v>2745</v>
      </c>
      <c r="AB12" s="91">
        <f t="shared" si="3"/>
        <v>-1050</v>
      </c>
      <c r="AC12" s="99">
        <v>231</v>
      </c>
      <c r="AD12" s="99">
        <v>212</v>
      </c>
      <c r="AE12" s="99">
        <v>263</v>
      </c>
      <c r="AF12" s="91">
        <f t="shared" si="12"/>
        <v>-51</v>
      </c>
      <c r="AG12" s="99">
        <v>2745</v>
      </c>
      <c r="AH12" s="100">
        <v>3120</v>
      </c>
      <c r="AI12" s="121">
        <f t="shared" si="4"/>
        <v>467</v>
      </c>
      <c r="AJ12" s="93">
        <f t="shared" si="5"/>
        <v>2653</v>
      </c>
      <c r="AK12" s="101">
        <v>11.883116883116884</v>
      </c>
      <c r="AL12" s="102">
        <v>14.716981132075471</v>
      </c>
      <c r="AM12" s="124" t="str">
        <f t="shared" si="13"/>
        <v>1.19</v>
      </c>
      <c r="AN12" s="96">
        <f t="shared" si="6"/>
        <v>13.526981132075472</v>
      </c>
      <c r="AO12" s="103">
        <v>2926</v>
      </c>
      <c r="AP12" s="127">
        <v>3307</v>
      </c>
      <c r="AQ12" s="121">
        <f t="shared" si="7"/>
        <v>500</v>
      </c>
      <c r="AR12" s="98">
        <f t="shared" si="8"/>
        <v>2807</v>
      </c>
      <c r="AT12" s="114" t="s">
        <v>15</v>
      </c>
      <c r="AU12" s="73">
        <v>2926</v>
      </c>
      <c r="AV12" s="74">
        <v>3307</v>
      </c>
      <c r="AW12" s="117">
        <f t="shared" si="9"/>
        <v>500</v>
      </c>
      <c r="AX12" s="81">
        <f t="shared" si="10"/>
        <v>2807</v>
      </c>
    </row>
    <row r="13" spans="1:50" x14ac:dyDescent="0.3">
      <c r="B13" s="6" t="s">
        <v>16</v>
      </c>
      <c r="C13" s="59">
        <v>1305</v>
      </c>
      <c r="D13" s="59">
        <v>1305</v>
      </c>
      <c r="E13" s="59">
        <v>1305</v>
      </c>
      <c r="F13" s="60">
        <f t="shared" si="0"/>
        <v>0</v>
      </c>
      <c r="G13" s="59">
        <v>242</v>
      </c>
      <c r="H13" s="59">
        <v>257</v>
      </c>
      <c r="I13" s="59">
        <v>233</v>
      </c>
      <c r="J13" s="60">
        <f t="shared" si="11"/>
        <v>24</v>
      </c>
      <c r="K13" s="59">
        <v>2204</v>
      </c>
      <c r="L13" s="8">
        <v>2699</v>
      </c>
      <c r="M13" s="59">
        <f>전체_경쟁률_현황__4[지원인원]</f>
        <v>333</v>
      </c>
      <c r="N13" s="60">
        <f t="shared" si="1"/>
        <v>2366</v>
      </c>
      <c r="O13" s="61">
        <v>9.1074380165289259</v>
      </c>
      <c r="P13" s="62">
        <v>10.501945525291829</v>
      </c>
      <c r="Q13" s="63" t="str">
        <f>LEFTB(전체_경쟁률_현황__4[경쟁률],4)</f>
        <v>1.17</v>
      </c>
      <c r="R13" s="64">
        <f t="shared" si="2"/>
        <v>9.3319455252918289</v>
      </c>
      <c r="S13" s="65">
        <v>2526</v>
      </c>
      <c r="T13" s="66">
        <v>2986</v>
      </c>
      <c r="U13" s="59">
        <f>전체_경쟁률_현황__4[지원인원]</f>
        <v>333</v>
      </c>
      <c r="V13" s="67">
        <v>460</v>
      </c>
      <c r="X13" s="80" t="s">
        <v>16</v>
      </c>
      <c r="Y13" s="77">
        <v>1305</v>
      </c>
      <c r="Z13" s="22">
        <v>1305</v>
      </c>
      <c r="AA13" s="90">
        <v>2204</v>
      </c>
      <c r="AB13" s="91">
        <f t="shared" si="3"/>
        <v>-899</v>
      </c>
      <c r="AC13" s="90">
        <v>242</v>
      </c>
      <c r="AD13" s="90">
        <v>257</v>
      </c>
      <c r="AE13" s="90">
        <v>233</v>
      </c>
      <c r="AF13" s="91">
        <f t="shared" si="12"/>
        <v>24</v>
      </c>
      <c r="AG13" s="90">
        <v>2204</v>
      </c>
      <c r="AH13" s="92">
        <v>2699</v>
      </c>
      <c r="AI13" s="120">
        <f t="shared" si="4"/>
        <v>333</v>
      </c>
      <c r="AJ13" s="93">
        <f t="shared" si="5"/>
        <v>2366</v>
      </c>
      <c r="AK13" s="94">
        <v>9.1074380165289259</v>
      </c>
      <c r="AL13" s="95">
        <v>10.501945525291829</v>
      </c>
      <c r="AM13" s="123" t="str">
        <f t="shared" si="13"/>
        <v>1.17</v>
      </c>
      <c r="AN13" s="96">
        <f t="shared" si="6"/>
        <v>9.3319455252918289</v>
      </c>
      <c r="AO13" s="97">
        <v>2526</v>
      </c>
      <c r="AP13" s="126">
        <v>2986</v>
      </c>
      <c r="AQ13" s="120">
        <f t="shared" si="7"/>
        <v>333</v>
      </c>
      <c r="AR13" s="98">
        <f t="shared" si="8"/>
        <v>2653</v>
      </c>
      <c r="AT13" s="113" t="s">
        <v>16</v>
      </c>
      <c r="AU13" s="65">
        <v>2526</v>
      </c>
      <c r="AV13" s="66">
        <v>2986</v>
      </c>
      <c r="AW13" s="116">
        <f t="shared" si="9"/>
        <v>333</v>
      </c>
      <c r="AX13" s="81">
        <f t="shared" si="10"/>
        <v>2653</v>
      </c>
    </row>
    <row r="14" spans="1:50" x14ac:dyDescent="0.3">
      <c r="B14" s="10" t="s">
        <v>17</v>
      </c>
      <c r="C14" s="68">
        <v>1313</v>
      </c>
      <c r="D14" s="68">
        <v>1279</v>
      </c>
      <c r="E14" s="68">
        <v>1237</v>
      </c>
      <c r="F14" s="60">
        <f t="shared" si="0"/>
        <v>42</v>
      </c>
      <c r="G14" s="68">
        <v>241</v>
      </c>
      <c r="H14" s="68">
        <v>225</v>
      </c>
      <c r="I14" s="68">
        <v>214</v>
      </c>
      <c r="J14" s="60">
        <f t="shared" si="11"/>
        <v>11</v>
      </c>
      <c r="K14" s="68">
        <v>1751</v>
      </c>
      <c r="L14" s="69">
        <v>1840</v>
      </c>
      <c r="M14" s="68">
        <f>'학과별 원서접수 데이터'!N40</f>
        <v>318</v>
      </c>
      <c r="N14" s="60">
        <f t="shared" si="1"/>
        <v>1522</v>
      </c>
      <c r="O14" s="70">
        <v>7.2655601659751037</v>
      </c>
      <c r="P14" s="71">
        <v>8.1777777777777771</v>
      </c>
      <c r="Q14" s="72" t="str">
        <f>LEFTB('학과별 원서접수 데이터'!O44,4)</f>
        <v>1.04</v>
      </c>
      <c r="R14" s="64">
        <f t="shared" si="2"/>
        <v>7.1377777777777771</v>
      </c>
      <c r="S14" s="73">
        <v>1772</v>
      </c>
      <c r="T14" s="74">
        <v>1868</v>
      </c>
      <c r="U14" s="68">
        <f>'학과별 원서접수 데이터'!N44</f>
        <v>320</v>
      </c>
      <c r="V14" s="75">
        <v>96</v>
      </c>
      <c r="X14" s="82" t="s">
        <v>17</v>
      </c>
      <c r="Y14" s="78">
        <v>1313</v>
      </c>
      <c r="Z14" s="30">
        <v>1279</v>
      </c>
      <c r="AA14" s="99">
        <v>1751</v>
      </c>
      <c r="AB14" s="91">
        <f t="shared" si="3"/>
        <v>-472</v>
      </c>
      <c r="AC14" s="99">
        <v>241</v>
      </c>
      <c r="AD14" s="99">
        <v>225</v>
      </c>
      <c r="AE14" s="99">
        <v>214</v>
      </c>
      <c r="AF14" s="91">
        <f t="shared" si="12"/>
        <v>11</v>
      </c>
      <c r="AG14" s="99">
        <v>1751</v>
      </c>
      <c r="AH14" s="100">
        <v>1840</v>
      </c>
      <c r="AI14" s="121">
        <f t="shared" si="4"/>
        <v>318</v>
      </c>
      <c r="AJ14" s="93">
        <f t="shared" si="5"/>
        <v>1522</v>
      </c>
      <c r="AK14" s="101">
        <v>7.2655601659751037</v>
      </c>
      <c r="AL14" s="102">
        <v>8.1777777777777771</v>
      </c>
      <c r="AM14" s="124" t="str">
        <f t="shared" si="13"/>
        <v>1.04</v>
      </c>
      <c r="AN14" s="96">
        <f t="shared" si="6"/>
        <v>7.1377777777777771</v>
      </c>
      <c r="AO14" s="103">
        <v>1772</v>
      </c>
      <c r="AP14" s="127">
        <v>1868</v>
      </c>
      <c r="AQ14" s="121">
        <f t="shared" si="7"/>
        <v>320</v>
      </c>
      <c r="AR14" s="98">
        <f t="shared" si="8"/>
        <v>1548</v>
      </c>
      <c r="AT14" s="114" t="s">
        <v>17</v>
      </c>
      <c r="AU14" s="73">
        <v>1772</v>
      </c>
      <c r="AV14" s="74">
        <v>1868</v>
      </c>
      <c r="AW14" s="117">
        <f t="shared" si="9"/>
        <v>320</v>
      </c>
      <c r="AX14" s="81">
        <f t="shared" si="10"/>
        <v>1548</v>
      </c>
    </row>
    <row r="15" spans="1:50" ht="17.25" thickBot="1" x14ac:dyDescent="0.35">
      <c r="B15" s="6" t="s">
        <v>18</v>
      </c>
      <c r="C15" s="59">
        <v>852</v>
      </c>
      <c r="D15" s="59">
        <v>822</v>
      </c>
      <c r="E15" s="59">
        <v>822</v>
      </c>
      <c r="F15" s="60">
        <f t="shared" si="0"/>
        <v>0</v>
      </c>
      <c r="G15" s="59">
        <v>293</v>
      </c>
      <c r="H15" s="59">
        <v>183</v>
      </c>
      <c r="I15" s="59">
        <v>64</v>
      </c>
      <c r="J15" s="60">
        <f t="shared" si="11"/>
        <v>119</v>
      </c>
      <c r="K15" s="59">
        <v>1222</v>
      </c>
      <c r="L15" s="8">
        <v>1929</v>
      </c>
      <c r="M15" s="59">
        <f>'학과별 원서접수 데이터'!U63</f>
        <v>77</v>
      </c>
      <c r="N15" s="60">
        <f t="shared" si="1"/>
        <v>1852</v>
      </c>
      <c r="O15" s="61">
        <v>4.1706484641638228</v>
      </c>
      <c r="P15" s="62">
        <v>10.540983606557377</v>
      </c>
      <c r="Q15" s="63" t="str">
        <f>LEFTB('학과별 원서접수 데이터'!V37,4)</f>
        <v>1.12</v>
      </c>
      <c r="R15" s="64">
        <f t="shared" si="2"/>
        <v>9.4209836065573782</v>
      </c>
      <c r="S15" s="65">
        <v>1246</v>
      </c>
      <c r="T15" s="66">
        <v>1937</v>
      </c>
      <c r="U15" s="59">
        <f>'학과별 원서접수 데이터'!U63</f>
        <v>77</v>
      </c>
      <c r="V15" s="67">
        <v>691</v>
      </c>
      <c r="X15" s="83" t="s">
        <v>18</v>
      </c>
      <c r="Y15" s="84">
        <v>852</v>
      </c>
      <c r="Z15" s="85">
        <v>822</v>
      </c>
      <c r="AA15" s="104">
        <v>1222</v>
      </c>
      <c r="AB15" s="105">
        <f t="shared" si="3"/>
        <v>-400</v>
      </c>
      <c r="AC15" s="104">
        <v>293</v>
      </c>
      <c r="AD15" s="104">
        <v>183</v>
      </c>
      <c r="AE15" s="104">
        <v>64</v>
      </c>
      <c r="AF15" s="105">
        <f t="shared" si="12"/>
        <v>119</v>
      </c>
      <c r="AG15" s="104">
        <v>1222</v>
      </c>
      <c r="AH15" s="106">
        <v>1929</v>
      </c>
      <c r="AI15" s="122">
        <f t="shared" si="4"/>
        <v>77</v>
      </c>
      <c r="AJ15" s="107">
        <f t="shared" si="5"/>
        <v>1852</v>
      </c>
      <c r="AK15" s="108">
        <v>4.1706484641638228</v>
      </c>
      <c r="AL15" s="109">
        <v>10.540983606557377</v>
      </c>
      <c r="AM15" s="125" t="str">
        <f t="shared" si="13"/>
        <v>1.12</v>
      </c>
      <c r="AN15" s="110">
        <f t="shared" si="6"/>
        <v>9.4209836065573782</v>
      </c>
      <c r="AO15" s="111">
        <v>1246</v>
      </c>
      <c r="AP15" s="128">
        <v>1937</v>
      </c>
      <c r="AQ15" s="122">
        <f t="shared" si="7"/>
        <v>77</v>
      </c>
      <c r="AR15" s="112">
        <f t="shared" si="8"/>
        <v>1860</v>
      </c>
      <c r="AT15" s="115" t="s">
        <v>18</v>
      </c>
      <c r="AU15" s="86">
        <v>1246</v>
      </c>
      <c r="AV15" s="87">
        <v>1937</v>
      </c>
      <c r="AW15" s="118">
        <f t="shared" si="9"/>
        <v>77</v>
      </c>
      <c r="AX15" s="88">
        <f t="shared" si="10"/>
        <v>1860</v>
      </c>
    </row>
    <row r="17" spans="2:25" x14ac:dyDescent="0.3">
      <c r="B17" s="15"/>
    </row>
    <row r="18" spans="2:25" ht="9.9499999999999993" customHeight="1" x14ac:dyDescent="0.3"/>
    <row r="19" spans="2:25" x14ac:dyDescent="0.3">
      <c r="B19" s="89" t="s">
        <v>19</v>
      </c>
      <c r="F19" s="16"/>
    </row>
    <row r="20" spans="2:25" x14ac:dyDescent="0.3">
      <c r="B20" s="2" t="s">
        <v>0</v>
      </c>
      <c r="L20" s="42"/>
    </row>
    <row r="21" spans="2:25" x14ac:dyDescent="0.3">
      <c r="B21" s="15" t="s">
        <v>287</v>
      </c>
    </row>
    <row r="22" spans="2:25" x14ac:dyDescent="0.3">
      <c r="B22" s="15" t="s">
        <v>20</v>
      </c>
    </row>
    <row r="23" spans="2:25" x14ac:dyDescent="0.3">
      <c r="B23" s="15" t="s">
        <v>50</v>
      </c>
    </row>
    <row r="24" spans="2:25" x14ac:dyDescent="0.3">
      <c r="B24" s="15" t="s">
        <v>51</v>
      </c>
    </row>
    <row r="25" spans="2:25" x14ac:dyDescent="0.3">
      <c r="B25" s="89" t="s">
        <v>52</v>
      </c>
    </row>
    <row r="30" spans="2:25" ht="23.25" customHeight="1" x14ac:dyDescent="0.3"/>
    <row r="31" spans="2:25" x14ac:dyDescent="0.3">
      <c r="B31" s="15" t="s">
        <v>20</v>
      </c>
      <c r="X31" s="15" t="s">
        <v>19</v>
      </c>
      <c r="Y31" s="15"/>
    </row>
    <row r="32" spans="2:25" ht="2.4500000000000002" customHeight="1" x14ac:dyDescent="0.3"/>
    <row r="33" spans="2:22" ht="18" customHeight="1" x14ac:dyDescent="0.3">
      <c r="B33" s="17" t="s">
        <v>1</v>
      </c>
      <c r="C33" s="18"/>
      <c r="D33" s="179" t="s">
        <v>21</v>
      </c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80"/>
      <c r="V33" s="180"/>
    </row>
    <row r="34" spans="2:22" ht="18" customHeight="1" x14ac:dyDescent="0.3">
      <c r="B34" s="6" t="s">
        <v>8</v>
      </c>
      <c r="C34" s="16"/>
      <c r="D34" s="181" t="s">
        <v>29</v>
      </c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2"/>
      <c r="V34" s="182"/>
    </row>
    <row r="35" spans="2:22" ht="18" customHeight="1" x14ac:dyDescent="0.3">
      <c r="B35" s="6" t="s">
        <v>9</v>
      </c>
      <c r="C35" s="16"/>
      <c r="D35" s="177" t="s">
        <v>30</v>
      </c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8"/>
      <c r="V35" s="178"/>
    </row>
    <row r="36" spans="2:22" ht="18" customHeight="1" x14ac:dyDescent="0.3">
      <c r="B36" s="6" t="s">
        <v>22</v>
      </c>
      <c r="C36" s="16"/>
      <c r="D36" s="177" t="s">
        <v>31</v>
      </c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8"/>
      <c r="V36" s="178"/>
    </row>
    <row r="37" spans="2:22" ht="18" customHeight="1" x14ac:dyDescent="0.3">
      <c r="B37" s="6" t="s">
        <v>23</v>
      </c>
      <c r="C37" s="16"/>
      <c r="D37" s="177" t="s">
        <v>32</v>
      </c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8"/>
      <c r="V37" s="178"/>
    </row>
    <row r="38" spans="2:22" ht="18" customHeight="1" x14ac:dyDescent="0.3">
      <c r="B38" s="6" t="s">
        <v>24</v>
      </c>
      <c r="C38" s="16"/>
      <c r="D38" s="183" t="s">
        <v>33</v>
      </c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4"/>
      <c r="V38" s="184"/>
    </row>
    <row r="39" spans="2:22" ht="18" customHeight="1" x14ac:dyDescent="0.3">
      <c r="B39" s="6" t="s">
        <v>13</v>
      </c>
      <c r="C39" s="16"/>
      <c r="D39" s="177" t="s">
        <v>34</v>
      </c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8"/>
      <c r="V39" s="178"/>
    </row>
    <row r="40" spans="2:22" ht="18" customHeight="1" x14ac:dyDescent="0.3">
      <c r="B40" s="6" t="s">
        <v>25</v>
      </c>
      <c r="C40" s="16"/>
      <c r="D40" s="177" t="s">
        <v>35</v>
      </c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8"/>
      <c r="V40" s="178"/>
    </row>
    <row r="41" spans="2:22" ht="18" customHeight="1" x14ac:dyDescent="0.3">
      <c r="B41" s="6" t="s">
        <v>15</v>
      </c>
      <c r="C41" s="16"/>
      <c r="D41" s="177" t="s">
        <v>36</v>
      </c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8"/>
      <c r="V41" s="178"/>
    </row>
    <row r="42" spans="2:22" ht="18" customHeight="1" x14ac:dyDescent="0.3">
      <c r="B42" s="6" t="s">
        <v>26</v>
      </c>
      <c r="C42" s="16"/>
      <c r="D42" s="177" t="s">
        <v>37</v>
      </c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8"/>
      <c r="V42" s="178"/>
    </row>
    <row r="43" spans="2:22" ht="18" customHeight="1" x14ac:dyDescent="0.3">
      <c r="B43" s="6" t="s">
        <v>27</v>
      </c>
      <c r="C43" s="16"/>
      <c r="D43" s="177" t="s">
        <v>38</v>
      </c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8"/>
      <c r="V43" s="178"/>
    </row>
    <row r="44" spans="2:22" ht="18" customHeight="1" x14ac:dyDescent="0.3">
      <c r="B44" s="6" t="s">
        <v>28</v>
      </c>
      <c r="C44" s="16"/>
      <c r="D44" s="177" t="s">
        <v>39</v>
      </c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8"/>
      <c r="V44" s="178"/>
    </row>
  </sheetData>
  <mergeCells count="26">
    <mergeCell ref="X3:X4"/>
    <mergeCell ref="Y3:AB3"/>
    <mergeCell ref="AC3:AF3"/>
    <mergeCell ref="AG3:AJ3"/>
    <mergeCell ref="AK3:AN3"/>
    <mergeCell ref="B3:B4"/>
    <mergeCell ref="C3:F3"/>
    <mergeCell ref="G3:J3"/>
    <mergeCell ref="K3:N3"/>
    <mergeCell ref="O3:R3"/>
    <mergeCell ref="AT3:AT4"/>
    <mergeCell ref="AU3:AX3"/>
    <mergeCell ref="D44:V44"/>
    <mergeCell ref="D33:V33"/>
    <mergeCell ref="D34:V34"/>
    <mergeCell ref="D35:V35"/>
    <mergeCell ref="D36:V36"/>
    <mergeCell ref="D37:V37"/>
    <mergeCell ref="D38:V38"/>
    <mergeCell ref="D39:V39"/>
    <mergeCell ref="D40:V40"/>
    <mergeCell ref="D41:V41"/>
    <mergeCell ref="D42:V42"/>
    <mergeCell ref="D43:V43"/>
    <mergeCell ref="S3:V3"/>
    <mergeCell ref="AO3:AR3"/>
  </mergeCells>
  <phoneticPr fontId="2" type="noConversion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&amp;C&amp;"-,굵게"&amp;18  2025학년도 입&amp;16학전형 수시2차 주요대학 원서접수 결과</oddHeader>
    <oddFooter>&amp;C&amp;"-,굵게"&amp;16입학학생처 입학팀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D4F3-4E21-43CC-A0B7-FF49CF3E8E18}">
  <sheetPr codeName="Sheet3"/>
  <dimension ref="A1:AH63"/>
  <sheetViews>
    <sheetView workbookViewId="0">
      <selection activeCell="E10" sqref="E10"/>
    </sheetView>
  </sheetViews>
  <sheetFormatPr defaultRowHeight="16.5" x14ac:dyDescent="0.3"/>
  <cols>
    <col min="1" max="4" width="13.875" bestFit="1" customWidth="1"/>
    <col min="5" max="5" width="11.25" bestFit="1" customWidth="1"/>
    <col min="6" max="6" width="9.375" bestFit="1" customWidth="1"/>
    <col min="10" max="10" width="14.25" customWidth="1"/>
    <col min="11" max="11" width="7.5" bestFit="1" customWidth="1"/>
    <col min="12" max="12" width="13.25" bestFit="1" customWidth="1"/>
    <col min="13" max="13" width="11.25" bestFit="1" customWidth="1"/>
    <col min="14" max="15" width="9.375" bestFit="1" customWidth="1"/>
    <col min="17" max="17" width="18.5" customWidth="1"/>
    <col min="18" max="18" width="27.75" bestFit="1" customWidth="1"/>
    <col min="19" max="19" width="29.25" bestFit="1" customWidth="1"/>
    <col min="20" max="26" width="11.75" bestFit="1" customWidth="1"/>
    <col min="27" max="34" width="12.875" bestFit="1" customWidth="1"/>
  </cols>
  <sheetData>
    <row r="1" spans="1:34" x14ac:dyDescent="0.3">
      <c r="A1" t="s">
        <v>58</v>
      </c>
      <c r="B1" t="s">
        <v>59</v>
      </c>
      <c r="C1" t="s">
        <v>60</v>
      </c>
      <c r="D1" t="s">
        <v>53</v>
      </c>
      <c r="E1" t="s">
        <v>55</v>
      </c>
      <c r="F1" t="s">
        <v>54</v>
      </c>
      <c r="G1" t="s">
        <v>40</v>
      </c>
      <c r="J1" t="s">
        <v>44</v>
      </c>
      <c r="K1" t="s">
        <v>58</v>
      </c>
      <c r="L1" t="s">
        <v>150</v>
      </c>
      <c r="M1" t="s">
        <v>146</v>
      </c>
      <c r="N1" t="s">
        <v>55</v>
      </c>
      <c r="O1" t="s">
        <v>54</v>
      </c>
      <c r="R1" s="38" t="s">
        <v>40</v>
      </c>
      <c r="S1" s="19" t="s">
        <v>214</v>
      </c>
    </row>
    <row r="2" spans="1:34" x14ac:dyDescent="0.3">
      <c r="A2" t="s">
        <v>61</v>
      </c>
      <c r="B2" t="s">
        <v>62</v>
      </c>
      <c r="C2" t="s">
        <v>62</v>
      </c>
      <c r="D2" t="s">
        <v>63</v>
      </c>
      <c r="E2">
        <v>601</v>
      </c>
      <c r="F2" t="s">
        <v>370</v>
      </c>
      <c r="K2" t="s">
        <v>289</v>
      </c>
      <c r="L2" t="s">
        <v>62</v>
      </c>
      <c r="M2">
        <v>447</v>
      </c>
      <c r="N2">
        <v>620</v>
      </c>
      <c r="O2" t="s">
        <v>365</v>
      </c>
      <c r="R2" s="38" t="s">
        <v>41</v>
      </c>
      <c r="S2" s="19" t="s">
        <v>141</v>
      </c>
    </row>
    <row r="3" spans="1:34" x14ac:dyDescent="0.3">
      <c r="A3" t="s">
        <v>61</v>
      </c>
      <c r="B3" t="s">
        <v>64</v>
      </c>
      <c r="C3" t="s">
        <v>64</v>
      </c>
      <c r="D3" t="s">
        <v>65</v>
      </c>
      <c r="E3">
        <v>199</v>
      </c>
      <c r="F3" t="s">
        <v>339</v>
      </c>
      <c r="K3" t="s">
        <v>289</v>
      </c>
      <c r="L3" t="s">
        <v>64</v>
      </c>
      <c r="M3">
        <v>114</v>
      </c>
      <c r="N3">
        <v>165</v>
      </c>
      <c r="O3" t="s">
        <v>339</v>
      </c>
      <c r="R3" s="38" t="s">
        <v>42</v>
      </c>
      <c r="S3" s="19" t="s">
        <v>145</v>
      </c>
    </row>
    <row r="4" spans="1:34" x14ac:dyDescent="0.3">
      <c r="A4" t="s">
        <v>61</v>
      </c>
      <c r="B4" t="s">
        <v>66</v>
      </c>
      <c r="C4" t="s">
        <v>66</v>
      </c>
      <c r="D4" t="s">
        <v>67</v>
      </c>
      <c r="E4">
        <v>22</v>
      </c>
      <c r="F4" t="s">
        <v>353</v>
      </c>
      <c r="K4" t="s">
        <v>289</v>
      </c>
      <c r="L4" t="s">
        <v>290</v>
      </c>
      <c r="M4">
        <v>18</v>
      </c>
      <c r="N4">
        <v>33</v>
      </c>
      <c r="O4" t="s">
        <v>340</v>
      </c>
      <c r="R4" s="38" t="s">
        <v>43</v>
      </c>
      <c r="S4" s="19" t="s">
        <v>78</v>
      </c>
    </row>
    <row r="5" spans="1:34" x14ac:dyDescent="0.3">
      <c r="A5" t="s">
        <v>68</v>
      </c>
      <c r="B5" t="s">
        <v>68</v>
      </c>
      <c r="C5" t="s">
        <v>68</v>
      </c>
      <c r="D5" t="s">
        <v>69</v>
      </c>
      <c r="E5" s="38">
        <v>822</v>
      </c>
      <c r="F5" t="s">
        <v>332</v>
      </c>
      <c r="K5" t="s">
        <v>291</v>
      </c>
      <c r="L5" t="s">
        <v>291</v>
      </c>
      <c r="M5">
        <v>579</v>
      </c>
      <c r="N5" s="38">
        <v>818</v>
      </c>
      <c r="O5" t="s">
        <v>300</v>
      </c>
      <c r="R5" s="38" t="s">
        <v>79</v>
      </c>
      <c r="S5" s="19" t="s">
        <v>149</v>
      </c>
    </row>
    <row r="6" spans="1:34" x14ac:dyDescent="0.3">
      <c r="A6" t="s">
        <v>70</v>
      </c>
      <c r="B6" t="s">
        <v>71</v>
      </c>
      <c r="C6" t="s">
        <v>71</v>
      </c>
      <c r="D6" t="s">
        <v>72</v>
      </c>
      <c r="E6">
        <v>22</v>
      </c>
      <c r="F6" t="s">
        <v>333</v>
      </c>
      <c r="K6" t="s">
        <v>292</v>
      </c>
      <c r="L6" t="s">
        <v>293</v>
      </c>
      <c r="M6">
        <v>18</v>
      </c>
      <c r="N6" s="53">
        <v>32</v>
      </c>
      <c r="O6" t="s">
        <v>337</v>
      </c>
      <c r="R6" s="38" t="s">
        <v>44</v>
      </c>
      <c r="S6" s="19" t="s">
        <v>288</v>
      </c>
    </row>
    <row r="7" spans="1:34" x14ac:dyDescent="0.3">
      <c r="A7" t="s">
        <v>70</v>
      </c>
      <c r="B7" t="s">
        <v>73</v>
      </c>
      <c r="C7" t="s">
        <v>73</v>
      </c>
      <c r="D7" t="s">
        <v>74</v>
      </c>
      <c r="E7">
        <v>61</v>
      </c>
      <c r="F7" t="s">
        <v>331</v>
      </c>
      <c r="K7" t="s">
        <v>292</v>
      </c>
      <c r="L7" t="s">
        <v>71</v>
      </c>
      <c r="M7">
        <v>7</v>
      </c>
      <c r="N7">
        <v>4</v>
      </c>
      <c r="O7" t="s">
        <v>304</v>
      </c>
      <c r="R7" s="38" t="s">
        <v>45</v>
      </c>
      <c r="S7" s="19" t="s">
        <v>80</v>
      </c>
    </row>
    <row r="8" spans="1:34" x14ac:dyDescent="0.3">
      <c r="A8" t="s">
        <v>70</v>
      </c>
      <c r="B8" t="s">
        <v>75</v>
      </c>
      <c r="C8" t="s">
        <v>75</v>
      </c>
      <c r="D8" t="s">
        <v>76</v>
      </c>
      <c r="E8">
        <v>11</v>
      </c>
      <c r="K8" t="s">
        <v>292</v>
      </c>
      <c r="L8" t="s">
        <v>294</v>
      </c>
      <c r="M8">
        <v>63</v>
      </c>
      <c r="N8">
        <v>52</v>
      </c>
      <c r="O8" t="s">
        <v>310</v>
      </c>
      <c r="R8" s="38" t="s">
        <v>46</v>
      </c>
      <c r="S8" s="19" t="s">
        <v>81</v>
      </c>
    </row>
    <row r="9" spans="1:34" x14ac:dyDescent="0.3">
      <c r="A9" t="s">
        <v>70</v>
      </c>
      <c r="B9" t="s">
        <v>57</v>
      </c>
      <c r="C9" t="s">
        <v>57</v>
      </c>
      <c r="D9" t="s">
        <v>76</v>
      </c>
      <c r="E9">
        <v>0</v>
      </c>
      <c r="K9" t="s">
        <v>295</v>
      </c>
      <c r="L9" t="s">
        <v>295</v>
      </c>
      <c r="M9">
        <v>88</v>
      </c>
      <c r="N9">
        <v>88</v>
      </c>
      <c r="O9" t="s">
        <v>138</v>
      </c>
      <c r="R9" s="38" t="s">
        <v>47</v>
      </c>
      <c r="S9" s="19" t="s">
        <v>175</v>
      </c>
    </row>
    <row r="10" spans="1:34" x14ac:dyDescent="0.3">
      <c r="A10" t="s">
        <v>77</v>
      </c>
      <c r="B10" t="s">
        <v>77</v>
      </c>
      <c r="C10" t="s">
        <v>77</v>
      </c>
      <c r="D10" t="s">
        <v>77</v>
      </c>
      <c r="E10" s="38">
        <v>916</v>
      </c>
      <c r="K10" t="s">
        <v>116</v>
      </c>
      <c r="L10" t="s">
        <v>116</v>
      </c>
      <c r="M10">
        <v>667</v>
      </c>
      <c r="N10" s="38">
        <v>906</v>
      </c>
      <c r="O10" t="s">
        <v>336</v>
      </c>
      <c r="R10" s="38" t="s">
        <v>48</v>
      </c>
      <c r="S10" s="19" t="s">
        <v>176</v>
      </c>
    </row>
    <row r="11" spans="1:34" x14ac:dyDescent="0.3">
      <c r="N11" s="53"/>
      <c r="R11" t="s">
        <v>49</v>
      </c>
      <c r="S11" t="s">
        <v>226</v>
      </c>
    </row>
    <row r="13" spans="1:34" x14ac:dyDescent="0.3">
      <c r="A13" t="s">
        <v>59</v>
      </c>
      <c r="B13" t="s">
        <v>53</v>
      </c>
      <c r="C13" t="s">
        <v>55</v>
      </c>
      <c r="D13" t="s">
        <v>54</v>
      </c>
      <c r="G13" t="s">
        <v>41</v>
      </c>
    </row>
    <row r="14" spans="1:34" x14ac:dyDescent="0.3">
      <c r="A14" t="s">
        <v>142</v>
      </c>
      <c r="B14">
        <v>509</v>
      </c>
      <c r="C14">
        <v>242</v>
      </c>
      <c r="D14" t="s">
        <v>351</v>
      </c>
      <c r="J14" t="s">
        <v>45</v>
      </c>
      <c r="K14" t="s">
        <v>58</v>
      </c>
      <c r="L14" t="s">
        <v>146</v>
      </c>
      <c r="M14" t="s">
        <v>55</v>
      </c>
      <c r="N14" t="s">
        <v>159</v>
      </c>
    </row>
    <row r="15" spans="1:34" x14ac:dyDescent="0.3">
      <c r="A15" t="s">
        <v>143</v>
      </c>
      <c r="B15">
        <v>111</v>
      </c>
      <c r="C15">
        <v>108</v>
      </c>
      <c r="D15" t="s">
        <v>328</v>
      </c>
      <c r="K15" t="s">
        <v>116</v>
      </c>
      <c r="L15">
        <v>517</v>
      </c>
      <c r="M15" s="38">
        <v>479</v>
      </c>
      <c r="N15" t="s">
        <v>350</v>
      </c>
      <c r="R15" t="s">
        <v>227</v>
      </c>
      <c r="S15" t="s">
        <v>228</v>
      </c>
      <c r="T15" t="s">
        <v>229</v>
      </c>
      <c r="U15" t="s">
        <v>230</v>
      </c>
      <c r="V15" t="s">
        <v>231</v>
      </c>
      <c r="W15" t="s">
        <v>232</v>
      </c>
      <c r="X15" t="s">
        <v>233</v>
      </c>
      <c r="Y15" t="s">
        <v>234</v>
      </c>
      <c r="Z15" t="s">
        <v>235</v>
      </c>
      <c r="AA15" t="s">
        <v>236</v>
      </c>
      <c r="AB15" t="s">
        <v>237</v>
      </c>
      <c r="AC15" t="s">
        <v>238</v>
      </c>
      <c r="AD15" t="s">
        <v>239</v>
      </c>
      <c r="AE15" t="s">
        <v>240</v>
      </c>
      <c r="AF15" t="s">
        <v>241</v>
      </c>
      <c r="AG15" t="s">
        <v>242</v>
      </c>
      <c r="AH15" t="s">
        <v>243</v>
      </c>
    </row>
    <row r="16" spans="1:34" x14ac:dyDescent="0.3">
      <c r="A16" t="s">
        <v>144</v>
      </c>
      <c r="B16">
        <v>138</v>
      </c>
      <c r="C16">
        <v>3</v>
      </c>
      <c r="D16" t="s">
        <v>121</v>
      </c>
      <c r="R16" t="s">
        <v>244</v>
      </c>
      <c r="S16" t="s">
        <v>245</v>
      </c>
      <c r="T16" t="s">
        <v>246</v>
      </c>
      <c r="U16" t="s">
        <v>271</v>
      </c>
      <c r="V16" t="s">
        <v>334</v>
      </c>
      <c r="W16" t="s">
        <v>165</v>
      </c>
      <c r="X16" t="s">
        <v>165</v>
      </c>
      <c r="Y16" t="s">
        <v>165</v>
      </c>
      <c r="Z16" t="s">
        <v>165</v>
      </c>
      <c r="AA16" t="s">
        <v>165</v>
      </c>
      <c r="AB16" t="s">
        <v>165</v>
      </c>
      <c r="AC16" t="s">
        <v>248</v>
      </c>
      <c r="AD16" t="s">
        <v>165</v>
      </c>
      <c r="AE16" t="s">
        <v>165</v>
      </c>
      <c r="AF16" t="s">
        <v>165</v>
      </c>
      <c r="AG16" t="s">
        <v>165</v>
      </c>
      <c r="AH16" t="s">
        <v>165</v>
      </c>
    </row>
    <row r="17" spans="1:34" x14ac:dyDescent="0.3">
      <c r="A17" t="s">
        <v>116</v>
      </c>
      <c r="B17">
        <v>758</v>
      </c>
      <c r="C17" s="38">
        <v>353</v>
      </c>
      <c r="D17" t="s">
        <v>352</v>
      </c>
      <c r="R17" t="s">
        <v>249</v>
      </c>
      <c r="S17" t="s">
        <v>250</v>
      </c>
      <c r="T17" t="s">
        <v>251</v>
      </c>
      <c r="U17" t="s">
        <v>246</v>
      </c>
      <c r="V17" t="s">
        <v>306</v>
      </c>
      <c r="W17" t="s">
        <v>165</v>
      </c>
      <c r="X17" t="s">
        <v>165</v>
      </c>
      <c r="Y17" t="s">
        <v>165</v>
      </c>
      <c r="Z17" t="s">
        <v>246</v>
      </c>
      <c r="AA17" t="s">
        <v>165</v>
      </c>
      <c r="AB17" t="s">
        <v>165</v>
      </c>
      <c r="AC17" t="s">
        <v>246</v>
      </c>
      <c r="AD17" t="s">
        <v>165</v>
      </c>
      <c r="AE17" t="s">
        <v>165</v>
      </c>
      <c r="AF17" t="s">
        <v>165</v>
      </c>
      <c r="AG17" t="s">
        <v>165</v>
      </c>
      <c r="AH17" t="s">
        <v>165</v>
      </c>
    </row>
    <row r="18" spans="1:34" x14ac:dyDescent="0.3">
      <c r="J18" t="s">
        <v>46</v>
      </c>
      <c r="K18" t="s">
        <v>58</v>
      </c>
      <c r="L18" t="s">
        <v>160</v>
      </c>
      <c r="M18" t="s">
        <v>53</v>
      </c>
      <c r="N18" t="s">
        <v>55</v>
      </c>
      <c r="O18" t="s">
        <v>54</v>
      </c>
      <c r="R18" t="s">
        <v>249</v>
      </c>
      <c r="S18" t="s">
        <v>252</v>
      </c>
      <c r="T18" t="s">
        <v>165</v>
      </c>
      <c r="U18" t="s">
        <v>165</v>
      </c>
      <c r="V18" t="s">
        <v>165</v>
      </c>
      <c r="W18" t="s">
        <v>246</v>
      </c>
      <c r="X18" t="s">
        <v>248</v>
      </c>
      <c r="Y18" t="s">
        <v>253</v>
      </c>
      <c r="Z18" t="s">
        <v>246</v>
      </c>
      <c r="AA18" t="s">
        <v>165</v>
      </c>
      <c r="AB18" t="s">
        <v>165</v>
      </c>
      <c r="AC18" t="s">
        <v>246</v>
      </c>
      <c r="AD18" t="s">
        <v>165</v>
      </c>
      <c r="AE18" t="s">
        <v>165</v>
      </c>
      <c r="AF18" t="s">
        <v>165</v>
      </c>
      <c r="AG18" t="s">
        <v>165</v>
      </c>
      <c r="AH18" t="s">
        <v>165</v>
      </c>
    </row>
    <row r="19" spans="1:34" x14ac:dyDescent="0.3">
      <c r="K19" t="s">
        <v>61</v>
      </c>
      <c r="L19" t="s">
        <v>142</v>
      </c>
      <c r="M19" t="s">
        <v>161</v>
      </c>
      <c r="N19">
        <v>336</v>
      </c>
      <c r="O19" t="s">
        <v>360</v>
      </c>
      <c r="R19" t="s">
        <v>249</v>
      </c>
      <c r="S19" t="s">
        <v>254</v>
      </c>
      <c r="T19" t="s">
        <v>165</v>
      </c>
      <c r="U19" t="s">
        <v>165</v>
      </c>
      <c r="V19" t="s">
        <v>165</v>
      </c>
      <c r="W19" t="s">
        <v>246</v>
      </c>
      <c r="X19" t="s">
        <v>165</v>
      </c>
      <c r="Y19" t="s">
        <v>253</v>
      </c>
      <c r="Z19" t="s">
        <v>246</v>
      </c>
      <c r="AA19" t="s">
        <v>165</v>
      </c>
      <c r="AB19" t="s">
        <v>165</v>
      </c>
      <c r="AC19" t="s">
        <v>246</v>
      </c>
      <c r="AD19" t="s">
        <v>165</v>
      </c>
      <c r="AE19" t="s">
        <v>165</v>
      </c>
      <c r="AF19" t="s">
        <v>165</v>
      </c>
      <c r="AG19" t="s">
        <v>165</v>
      </c>
      <c r="AH19" t="s">
        <v>165</v>
      </c>
    </row>
    <row r="20" spans="1:34" x14ac:dyDescent="0.3">
      <c r="A20" t="s">
        <v>58</v>
      </c>
      <c r="B20" t="s">
        <v>146</v>
      </c>
      <c r="C20" t="s">
        <v>55</v>
      </c>
      <c r="D20" t="s">
        <v>54</v>
      </c>
      <c r="G20" t="s">
        <v>42</v>
      </c>
      <c r="K20" t="s">
        <v>61</v>
      </c>
      <c r="L20" t="s">
        <v>143</v>
      </c>
      <c r="M20" t="s">
        <v>162</v>
      </c>
      <c r="N20">
        <v>131</v>
      </c>
      <c r="O20" t="s">
        <v>367</v>
      </c>
      <c r="R20" t="s">
        <v>255</v>
      </c>
      <c r="S20" t="s">
        <v>256</v>
      </c>
      <c r="T20" t="s">
        <v>257</v>
      </c>
      <c r="U20" t="s">
        <v>165</v>
      </c>
      <c r="V20" t="s">
        <v>165</v>
      </c>
      <c r="W20" t="s">
        <v>165</v>
      </c>
      <c r="X20" t="s">
        <v>165</v>
      </c>
      <c r="Y20" t="s">
        <v>165</v>
      </c>
      <c r="Z20" t="s">
        <v>246</v>
      </c>
      <c r="AA20" t="s">
        <v>165</v>
      </c>
      <c r="AB20" t="s">
        <v>165</v>
      </c>
      <c r="AC20" t="s">
        <v>165</v>
      </c>
      <c r="AD20" t="s">
        <v>165</v>
      </c>
      <c r="AE20" t="s">
        <v>165</v>
      </c>
      <c r="AF20" t="s">
        <v>165</v>
      </c>
      <c r="AG20" t="s">
        <v>165</v>
      </c>
      <c r="AH20" t="s">
        <v>165</v>
      </c>
    </row>
    <row r="21" spans="1:34" x14ac:dyDescent="0.3">
      <c r="A21" t="s">
        <v>147</v>
      </c>
      <c r="B21">
        <v>659</v>
      </c>
      <c r="C21">
        <v>614</v>
      </c>
      <c r="D21" t="s">
        <v>350</v>
      </c>
      <c r="K21" t="s">
        <v>68</v>
      </c>
      <c r="L21" t="s">
        <v>68</v>
      </c>
      <c r="M21" t="s">
        <v>163</v>
      </c>
      <c r="N21" s="38">
        <v>467</v>
      </c>
      <c r="O21" t="s">
        <v>337</v>
      </c>
      <c r="R21" t="s">
        <v>255</v>
      </c>
      <c r="S21" t="s">
        <v>258</v>
      </c>
      <c r="T21" t="s">
        <v>259</v>
      </c>
      <c r="U21" t="s">
        <v>341</v>
      </c>
      <c r="V21" t="s">
        <v>342</v>
      </c>
      <c r="W21" t="s">
        <v>165</v>
      </c>
      <c r="X21" t="s">
        <v>165</v>
      </c>
      <c r="Y21" t="s">
        <v>165</v>
      </c>
      <c r="Z21" t="s">
        <v>246</v>
      </c>
      <c r="AA21" t="s">
        <v>165</v>
      </c>
      <c r="AB21" t="s">
        <v>165</v>
      </c>
      <c r="AC21" t="s">
        <v>165</v>
      </c>
      <c r="AD21" t="s">
        <v>165</v>
      </c>
      <c r="AE21" t="s">
        <v>165</v>
      </c>
      <c r="AF21" t="s">
        <v>165</v>
      </c>
      <c r="AG21" t="s">
        <v>165</v>
      </c>
      <c r="AH21" t="s">
        <v>165</v>
      </c>
    </row>
    <row r="22" spans="1:34" x14ac:dyDescent="0.3">
      <c r="A22" t="s">
        <v>148</v>
      </c>
      <c r="B22">
        <v>60</v>
      </c>
      <c r="C22">
        <v>25</v>
      </c>
      <c r="D22" t="s">
        <v>184</v>
      </c>
      <c r="K22" t="s">
        <v>70</v>
      </c>
      <c r="L22" t="s">
        <v>164</v>
      </c>
      <c r="M22" t="s">
        <v>76</v>
      </c>
      <c r="N22">
        <v>6</v>
      </c>
      <c r="O22" t="s">
        <v>165</v>
      </c>
      <c r="R22" t="s">
        <v>255</v>
      </c>
      <c r="S22" t="s">
        <v>260</v>
      </c>
      <c r="T22" t="s">
        <v>251</v>
      </c>
      <c r="U22" t="s">
        <v>297</v>
      </c>
      <c r="V22" t="s">
        <v>342</v>
      </c>
      <c r="W22" t="s">
        <v>165</v>
      </c>
      <c r="X22" t="s">
        <v>165</v>
      </c>
      <c r="Y22" t="s">
        <v>165</v>
      </c>
      <c r="Z22" t="s">
        <v>246</v>
      </c>
      <c r="AA22" t="s">
        <v>165</v>
      </c>
      <c r="AB22" t="s">
        <v>165</v>
      </c>
      <c r="AC22" t="s">
        <v>165</v>
      </c>
      <c r="AD22" t="s">
        <v>165</v>
      </c>
      <c r="AE22" t="s">
        <v>165</v>
      </c>
      <c r="AF22" t="s">
        <v>165</v>
      </c>
      <c r="AG22" t="s">
        <v>165</v>
      </c>
      <c r="AH22" t="s">
        <v>165</v>
      </c>
    </row>
    <row r="23" spans="1:34" x14ac:dyDescent="0.3">
      <c r="A23" t="s">
        <v>116</v>
      </c>
      <c r="B23">
        <v>719</v>
      </c>
      <c r="C23" s="38">
        <v>639</v>
      </c>
      <c r="D23" t="s">
        <v>329</v>
      </c>
      <c r="K23" t="s">
        <v>70</v>
      </c>
      <c r="L23" t="s">
        <v>166</v>
      </c>
      <c r="M23" t="s">
        <v>167</v>
      </c>
      <c r="N23">
        <v>27</v>
      </c>
      <c r="O23" t="s">
        <v>345</v>
      </c>
      <c r="R23" t="s">
        <v>255</v>
      </c>
      <c r="S23" t="s">
        <v>262</v>
      </c>
      <c r="T23" t="s">
        <v>261</v>
      </c>
      <c r="U23" t="s">
        <v>165</v>
      </c>
      <c r="V23" t="s">
        <v>326</v>
      </c>
      <c r="W23" t="s">
        <v>246</v>
      </c>
      <c r="X23" t="s">
        <v>246</v>
      </c>
      <c r="Y23" t="s">
        <v>247</v>
      </c>
      <c r="Z23" t="s">
        <v>246</v>
      </c>
      <c r="AA23" t="s">
        <v>165</v>
      </c>
      <c r="AB23" t="s">
        <v>165</v>
      </c>
      <c r="AC23" t="s">
        <v>165</v>
      </c>
      <c r="AD23" t="s">
        <v>165</v>
      </c>
      <c r="AE23" t="s">
        <v>165</v>
      </c>
      <c r="AF23" t="s">
        <v>165</v>
      </c>
      <c r="AG23" t="s">
        <v>165</v>
      </c>
      <c r="AH23" t="s">
        <v>165</v>
      </c>
    </row>
    <row r="24" spans="1:34" x14ac:dyDescent="0.3">
      <c r="K24" t="s">
        <v>70</v>
      </c>
      <c r="L24" t="s">
        <v>168</v>
      </c>
      <c r="M24" t="s">
        <v>76</v>
      </c>
      <c r="N24">
        <v>0</v>
      </c>
      <c r="O24" t="s">
        <v>165</v>
      </c>
      <c r="R24" t="s">
        <v>255</v>
      </c>
      <c r="S24" t="s">
        <v>263</v>
      </c>
      <c r="T24" t="s">
        <v>261</v>
      </c>
      <c r="U24" t="s">
        <v>165</v>
      </c>
      <c r="V24" t="s">
        <v>326</v>
      </c>
      <c r="W24" t="s">
        <v>246</v>
      </c>
      <c r="X24" t="s">
        <v>165</v>
      </c>
      <c r="Y24" t="s">
        <v>247</v>
      </c>
      <c r="Z24" t="s">
        <v>246</v>
      </c>
      <c r="AA24" t="s">
        <v>165</v>
      </c>
      <c r="AB24" t="s">
        <v>165</v>
      </c>
      <c r="AC24" t="s">
        <v>165</v>
      </c>
      <c r="AD24" t="s">
        <v>165</v>
      </c>
      <c r="AE24" t="s">
        <v>165</v>
      </c>
      <c r="AF24" t="s">
        <v>165</v>
      </c>
      <c r="AG24" t="s">
        <v>165</v>
      </c>
      <c r="AH24" t="s">
        <v>165</v>
      </c>
    </row>
    <row r="25" spans="1:34" x14ac:dyDescent="0.3">
      <c r="K25" t="s">
        <v>70</v>
      </c>
      <c r="L25" t="s">
        <v>169</v>
      </c>
      <c r="M25" t="s">
        <v>170</v>
      </c>
      <c r="N25">
        <v>0</v>
      </c>
      <c r="O25" t="s">
        <v>56</v>
      </c>
      <c r="R25" t="s">
        <v>255</v>
      </c>
      <c r="S25" t="s">
        <v>264</v>
      </c>
      <c r="T25" t="s">
        <v>261</v>
      </c>
      <c r="U25" t="s">
        <v>165</v>
      </c>
      <c r="V25" t="s">
        <v>326</v>
      </c>
      <c r="W25" t="s">
        <v>246</v>
      </c>
      <c r="X25" t="s">
        <v>165</v>
      </c>
      <c r="Y25" t="s">
        <v>247</v>
      </c>
      <c r="Z25" t="s">
        <v>246</v>
      </c>
      <c r="AA25" t="s">
        <v>165</v>
      </c>
      <c r="AB25" t="s">
        <v>165</v>
      </c>
      <c r="AC25" t="s">
        <v>165</v>
      </c>
      <c r="AD25" t="s">
        <v>165</v>
      </c>
      <c r="AE25" t="s">
        <v>165</v>
      </c>
      <c r="AF25" t="s">
        <v>165</v>
      </c>
      <c r="AG25" t="s">
        <v>165</v>
      </c>
      <c r="AH25" t="s">
        <v>165</v>
      </c>
    </row>
    <row r="26" spans="1:34" x14ac:dyDescent="0.3">
      <c r="A26" t="s">
        <v>58</v>
      </c>
      <c r="B26" t="s">
        <v>146</v>
      </c>
      <c r="C26" t="s">
        <v>55</v>
      </c>
      <c r="D26" t="s">
        <v>54</v>
      </c>
      <c r="G26" t="s">
        <v>43</v>
      </c>
      <c r="K26" t="s">
        <v>70</v>
      </c>
      <c r="L26" t="s">
        <v>171</v>
      </c>
      <c r="M26" t="s">
        <v>172</v>
      </c>
      <c r="N26">
        <v>0</v>
      </c>
      <c r="O26" t="s">
        <v>56</v>
      </c>
      <c r="R26" t="s">
        <v>255</v>
      </c>
      <c r="S26" t="s">
        <v>265</v>
      </c>
      <c r="T26" t="s">
        <v>261</v>
      </c>
      <c r="U26" t="s">
        <v>67</v>
      </c>
      <c r="V26" t="s">
        <v>326</v>
      </c>
      <c r="W26" t="s">
        <v>246</v>
      </c>
      <c r="X26" t="s">
        <v>165</v>
      </c>
      <c r="Y26" t="s">
        <v>247</v>
      </c>
      <c r="Z26" t="s">
        <v>246</v>
      </c>
      <c r="AA26" t="s">
        <v>165</v>
      </c>
      <c r="AB26" t="s">
        <v>165</v>
      </c>
      <c r="AC26" t="s">
        <v>165</v>
      </c>
      <c r="AD26" t="s">
        <v>165</v>
      </c>
      <c r="AE26" t="s">
        <v>165</v>
      </c>
      <c r="AF26" t="s">
        <v>165</v>
      </c>
      <c r="AG26" t="s">
        <v>165</v>
      </c>
      <c r="AH26" t="s">
        <v>165</v>
      </c>
    </row>
    <row r="27" spans="1:34" x14ac:dyDescent="0.3">
      <c r="A27" t="s">
        <v>116</v>
      </c>
      <c r="B27">
        <v>376</v>
      </c>
      <c r="C27" s="38">
        <v>464</v>
      </c>
      <c r="D27" t="s">
        <v>298</v>
      </c>
      <c r="K27" t="s">
        <v>68</v>
      </c>
      <c r="L27" t="s">
        <v>68</v>
      </c>
      <c r="M27" t="s">
        <v>173</v>
      </c>
      <c r="N27">
        <v>33</v>
      </c>
      <c r="O27" t="s">
        <v>346</v>
      </c>
      <c r="R27" t="s">
        <v>255</v>
      </c>
      <c r="S27" t="s">
        <v>266</v>
      </c>
      <c r="T27" t="s">
        <v>165</v>
      </c>
      <c r="U27" t="s">
        <v>165</v>
      </c>
      <c r="V27" t="s">
        <v>165</v>
      </c>
      <c r="W27" t="s">
        <v>165</v>
      </c>
      <c r="X27" t="s">
        <v>165</v>
      </c>
      <c r="Y27" t="s">
        <v>165</v>
      </c>
      <c r="Z27" t="s">
        <v>165</v>
      </c>
      <c r="AA27" t="s">
        <v>165</v>
      </c>
      <c r="AB27" t="s">
        <v>165</v>
      </c>
      <c r="AC27" t="s">
        <v>165</v>
      </c>
      <c r="AD27" t="s">
        <v>165</v>
      </c>
      <c r="AE27" t="s">
        <v>165</v>
      </c>
      <c r="AF27" t="s">
        <v>165</v>
      </c>
      <c r="AG27" t="s">
        <v>165</v>
      </c>
      <c r="AH27" t="s">
        <v>165</v>
      </c>
    </row>
    <row r="28" spans="1:34" x14ac:dyDescent="0.3">
      <c r="K28" t="s">
        <v>126</v>
      </c>
      <c r="L28" t="s">
        <v>126</v>
      </c>
      <c r="M28" t="s">
        <v>174</v>
      </c>
      <c r="N28" s="38">
        <v>500</v>
      </c>
      <c r="O28" t="s">
        <v>354</v>
      </c>
      <c r="R28" t="s">
        <v>255</v>
      </c>
      <c r="S28" t="s">
        <v>267</v>
      </c>
      <c r="T28" t="s">
        <v>165</v>
      </c>
      <c r="U28" t="s">
        <v>165</v>
      </c>
      <c r="V28" t="s">
        <v>165</v>
      </c>
      <c r="W28" t="s">
        <v>165</v>
      </c>
      <c r="X28" t="s">
        <v>165</v>
      </c>
      <c r="Y28" t="s">
        <v>165</v>
      </c>
      <c r="Z28" t="s">
        <v>165</v>
      </c>
      <c r="AA28" t="s">
        <v>165</v>
      </c>
      <c r="AB28" t="s">
        <v>165</v>
      </c>
      <c r="AC28" t="s">
        <v>165</v>
      </c>
      <c r="AD28" t="s">
        <v>165</v>
      </c>
      <c r="AE28" t="s">
        <v>165</v>
      </c>
      <c r="AF28" t="s">
        <v>165</v>
      </c>
      <c r="AG28" t="s">
        <v>165</v>
      </c>
      <c r="AH28" t="s">
        <v>165</v>
      </c>
    </row>
    <row r="29" spans="1:34" x14ac:dyDescent="0.3">
      <c r="R29" t="s">
        <v>268</v>
      </c>
      <c r="S29" t="s">
        <v>269</v>
      </c>
      <c r="T29" t="s">
        <v>246</v>
      </c>
      <c r="U29" t="s">
        <v>297</v>
      </c>
      <c r="V29" t="s">
        <v>335</v>
      </c>
      <c r="W29" t="s">
        <v>165</v>
      </c>
      <c r="X29" t="s">
        <v>165</v>
      </c>
      <c r="Y29" t="s">
        <v>165</v>
      </c>
      <c r="Z29" t="s">
        <v>246</v>
      </c>
      <c r="AA29" t="s">
        <v>165</v>
      </c>
      <c r="AB29" t="s">
        <v>165</v>
      </c>
      <c r="AC29" t="s">
        <v>271</v>
      </c>
      <c r="AD29" t="s">
        <v>165</v>
      </c>
      <c r="AE29" t="s">
        <v>272</v>
      </c>
      <c r="AF29" t="s">
        <v>165</v>
      </c>
      <c r="AG29" t="s">
        <v>165</v>
      </c>
      <c r="AH29" t="s">
        <v>165</v>
      </c>
    </row>
    <row r="30" spans="1:34" x14ac:dyDescent="0.3">
      <c r="R30" t="s">
        <v>268</v>
      </c>
      <c r="S30" t="s">
        <v>273</v>
      </c>
      <c r="T30" t="s">
        <v>246</v>
      </c>
      <c r="U30" t="s">
        <v>248</v>
      </c>
      <c r="V30" t="s">
        <v>335</v>
      </c>
      <c r="W30" t="s">
        <v>165</v>
      </c>
      <c r="X30" t="s">
        <v>165</v>
      </c>
      <c r="Y30" t="s">
        <v>165</v>
      </c>
      <c r="Z30" t="s">
        <v>246</v>
      </c>
      <c r="AA30" t="s">
        <v>165</v>
      </c>
      <c r="AB30" t="s">
        <v>165</v>
      </c>
      <c r="AC30" t="s">
        <v>271</v>
      </c>
      <c r="AD30" t="s">
        <v>165</v>
      </c>
      <c r="AE30" t="s">
        <v>272</v>
      </c>
      <c r="AF30" t="s">
        <v>165</v>
      </c>
      <c r="AG30" t="s">
        <v>165</v>
      </c>
      <c r="AH30" t="s">
        <v>165</v>
      </c>
    </row>
    <row r="31" spans="1:34" x14ac:dyDescent="0.3">
      <c r="A31" t="s">
        <v>58</v>
      </c>
      <c r="B31" t="s">
        <v>150</v>
      </c>
      <c r="C31" t="s">
        <v>146</v>
      </c>
      <c r="D31" t="s">
        <v>55</v>
      </c>
      <c r="E31" t="s">
        <v>54</v>
      </c>
      <c r="G31" t="s">
        <v>79</v>
      </c>
      <c r="J31" t="s">
        <v>47</v>
      </c>
      <c r="K31" t="s">
        <v>58</v>
      </c>
      <c r="L31" t="s">
        <v>146</v>
      </c>
      <c r="M31" t="s">
        <v>55</v>
      </c>
      <c r="N31" t="s">
        <v>54</v>
      </c>
      <c r="R31" t="s">
        <v>268</v>
      </c>
      <c r="S31" t="s">
        <v>274</v>
      </c>
      <c r="T31" t="s">
        <v>246</v>
      </c>
      <c r="U31" t="s">
        <v>297</v>
      </c>
      <c r="V31" t="s">
        <v>335</v>
      </c>
      <c r="W31" t="s">
        <v>165</v>
      </c>
      <c r="X31" t="s">
        <v>165</v>
      </c>
      <c r="Y31" t="s">
        <v>165</v>
      </c>
      <c r="Z31" t="s">
        <v>246</v>
      </c>
      <c r="AA31" t="s">
        <v>165</v>
      </c>
      <c r="AB31" t="s">
        <v>165</v>
      </c>
      <c r="AC31" t="s">
        <v>271</v>
      </c>
      <c r="AD31" t="s">
        <v>246</v>
      </c>
      <c r="AE31" t="s">
        <v>272</v>
      </c>
      <c r="AF31" t="s">
        <v>165</v>
      </c>
      <c r="AG31" t="s">
        <v>165</v>
      </c>
      <c r="AH31" t="s">
        <v>165</v>
      </c>
    </row>
    <row r="32" spans="1:34" x14ac:dyDescent="0.3">
      <c r="A32" t="s">
        <v>61</v>
      </c>
      <c r="B32" t="s">
        <v>151</v>
      </c>
      <c r="C32">
        <v>79</v>
      </c>
      <c r="D32">
        <v>122</v>
      </c>
      <c r="E32" t="s">
        <v>347</v>
      </c>
      <c r="K32" t="s">
        <v>116</v>
      </c>
      <c r="L32">
        <v>285</v>
      </c>
      <c r="M32" s="38">
        <v>333</v>
      </c>
      <c r="N32" t="s">
        <v>303</v>
      </c>
      <c r="R32" t="s">
        <v>268</v>
      </c>
      <c r="S32" t="s">
        <v>276</v>
      </c>
      <c r="T32" t="s">
        <v>246</v>
      </c>
      <c r="U32" t="s">
        <v>270</v>
      </c>
      <c r="V32" t="s">
        <v>335</v>
      </c>
      <c r="W32" t="s">
        <v>165</v>
      </c>
      <c r="X32" t="s">
        <v>165</v>
      </c>
      <c r="Y32" t="s">
        <v>165</v>
      </c>
      <c r="Z32" t="s">
        <v>246</v>
      </c>
      <c r="AA32" t="s">
        <v>165</v>
      </c>
      <c r="AB32" t="s">
        <v>165</v>
      </c>
      <c r="AC32" t="s">
        <v>271</v>
      </c>
      <c r="AD32" t="s">
        <v>165</v>
      </c>
      <c r="AE32" t="s">
        <v>272</v>
      </c>
      <c r="AF32" t="s">
        <v>165</v>
      </c>
      <c r="AG32" t="s">
        <v>165</v>
      </c>
      <c r="AH32" t="s">
        <v>165</v>
      </c>
    </row>
    <row r="33" spans="1:34" x14ac:dyDescent="0.3">
      <c r="A33" t="s">
        <v>61</v>
      </c>
      <c r="B33" t="s">
        <v>152</v>
      </c>
      <c r="C33">
        <v>346</v>
      </c>
      <c r="D33">
        <v>735</v>
      </c>
      <c r="E33" t="s">
        <v>348</v>
      </c>
      <c r="R33" t="s">
        <v>268</v>
      </c>
      <c r="S33" t="s">
        <v>277</v>
      </c>
      <c r="T33" t="s">
        <v>246</v>
      </c>
      <c r="U33" t="s">
        <v>165</v>
      </c>
      <c r="V33" t="s">
        <v>335</v>
      </c>
      <c r="W33" t="s">
        <v>165</v>
      </c>
      <c r="X33" t="s">
        <v>165</v>
      </c>
      <c r="Y33" t="s">
        <v>165</v>
      </c>
      <c r="Z33" t="s">
        <v>246</v>
      </c>
      <c r="AA33" t="s">
        <v>165</v>
      </c>
      <c r="AB33" t="s">
        <v>165</v>
      </c>
      <c r="AC33" t="s">
        <v>271</v>
      </c>
      <c r="AD33" t="s">
        <v>165</v>
      </c>
      <c r="AE33" t="s">
        <v>272</v>
      </c>
      <c r="AF33" t="s">
        <v>165</v>
      </c>
      <c r="AG33" t="s">
        <v>165</v>
      </c>
      <c r="AH33" t="s">
        <v>165</v>
      </c>
    </row>
    <row r="34" spans="1:34" x14ac:dyDescent="0.3">
      <c r="A34" t="s">
        <v>61</v>
      </c>
      <c r="B34" t="s">
        <v>153</v>
      </c>
      <c r="C34">
        <v>149</v>
      </c>
      <c r="D34">
        <v>202</v>
      </c>
      <c r="E34" t="s">
        <v>336</v>
      </c>
      <c r="R34" t="s">
        <v>268</v>
      </c>
      <c r="S34" t="s">
        <v>278</v>
      </c>
      <c r="T34" t="s">
        <v>246</v>
      </c>
      <c r="U34" t="s">
        <v>248</v>
      </c>
      <c r="V34" t="s">
        <v>335</v>
      </c>
      <c r="W34" t="s">
        <v>165</v>
      </c>
      <c r="X34" t="s">
        <v>165</v>
      </c>
      <c r="Y34" t="s">
        <v>165</v>
      </c>
      <c r="Z34" t="s">
        <v>246</v>
      </c>
      <c r="AA34" t="s">
        <v>165</v>
      </c>
      <c r="AB34" t="s">
        <v>165</v>
      </c>
      <c r="AC34" t="s">
        <v>271</v>
      </c>
      <c r="AD34" t="s">
        <v>165</v>
      </c>
      <c r="AE34" t="s">
        <v>272</v>
      </c>
      <c r="AF34" t="s">
        <v>165</v>
      </c>
      <c r="AG34" t="s">
        <v>165</v>
      </c>
      <c r="AH34" t="s">
        <v>165</v>
      </c>
    </row>
    <row r="35" spans="1:34" x14ac:dyDescent="0.3">
      <c r="A35" t="s">
        <v>61</v>
      </c>
      <c r="B35" t="s">
        <v>154</v>
      </c>
      <c r="C35">
        <v>13</v>
      </c>
      <c r="D35">
        <v>62</v>
      </c>
      <c r="E35" t="s">
        <v>349</v>
      </c>
      <c r="J35" t="s">
        <v>48</v>
      </c>
      <c r="K35" t="s">
        <v>58</v>
      </c>
      <c r="L35" t="s">
        <v>59</v>
      </c>
      <c r="M35" t="s">
        <v>53</v>
      </c>
      <c r="N35" t="s">
        <v>55</v>
      </c>
      <c r="O35" t="s">
        <v>54</v>
      </c>
      <c r="R35" t="s">
        <v>268</v>
      </c>
      <c r="S35" t="s">
        <v>279</v>
      </c>
      <c r="T35" t="s">
        <v>246</v>
      </c>
      <c r="U35" t="s">
        <v>165</v>
      </c>
      <c r="V35" t="s">
        <v>335</v>
      </c>
      <c r="W35" t="s">
        <v>165</v>
      </c>
      <c r="X35" t="s">
        <v>165</v>
      </c>
      <c r="Y35" t="s">
        <v>165</v>
      </c>
      <c r="Z35" t="s">
        <v>246</v>
      </c>
      <c r="AA35" t="s">
        <v>165</v>
      </c>
      <c r="AB35" t="s">
        <v>165</v>
      </c>
      <c r="AC35" t="s">
        <v>271</v>
      </c>
      <c r="AD35" t="s">
        <v>165</v>
      </c>
      <c r="AE35" t="s">
        <v>272</v>
      </c>
      <c r="AF35" t="s">
        <v>165</v>
      </c>
      <c r="AG35" t="s">
        <v>165</v>
      </c>
      <c r="AH35" t="s">
        <v>165</v>
      </c>
    </row>
    <row r="36" spans="1:34" x14ac:dyDescent="0.3">
      <c r="A36" t="s">
        <v>155</v>
      </c>
      <c r="B36" t="s">
        <v>155</v>
      </c>
      <c r="C36">
        <v>587</v>
      </c>
      <c r="D36" s="38">
        <v>1121</v>
      </c>
      <c r="E36" t="s">
        <v>368</v>
      </c>
      <c r="K36" t="s">
        <v>61</v>
      </c>
      <c r="L36" t="s">
        <v>177</v>
      </c>
      <c r="M36">
        <v>141</v>
      </c>
      <c r="N36">
        <v>220</v>
      </c>
      <c r="O36" t="s">
        <v>307</v>
      </c>
      <c r="R36" t="s">
        <v>268</v>
      </c>
      <c r="S36" t="s">
        <v>280</v>
      </c>
      <c r="T36" t="s">
        <v>246</v>
      </c>
      <c r="U36" t="s">
        <v>248</v>
      </c>
      <c r="V36" t="s">
        <v>335</v>
      </c>
      <c r="W36" t="s">
        <v>165</v>
      </c>
      <c r="X36" t="s">
        <v>165</v>
      </c>
      <c r="Y36" t="s">
        <v>165</v>
      </c>
      <c r="Z36" t="s">
        <v>246</v>
      </c>
      <c r="AA36" t="s">
        <v>165</v>
      </c>
      <c r="AB36" t="s">
        <v>165</v>
      </c>
      <c r="AC36" t="s">
        <v>271</v>
      </c>
      <c r="AD36" t="s">
        <v>165</v>
      </c>
      <c r="AE36" t="s">
        <v>272</v>
      </c>
      <c r="AF36" t="s">
        <v>165</v>
      </c>
      <c r="AG36" t="s">
        <v>165</v>
      </c>
      <c r="AH36" t="s">
        <v>165</v>
      </c>
    </row>
    <row r="37" spans="1:34" x14ac:dyDescent="0.3">
      <c r="A37" t="s">
        <v>70</v>
      </c>
      <c r="B37" t="s">
        <v>156</v>
      </c>
      <c r="C37">
        <v>2</v>
      </c>
      <c r="D37">
        <v>6</v>
      </c>
      <c r="E37" t="s">
        <v>301</v>
      </c>
      <c r="K37" t="s">
        <v>61</v>
      </c>
      <c r="L37" t="s">
        <v>178</v>
      </c>
      <c r="M37">
        <v>55</v>
      </c>
      <c r="N37">
        <v>86</v>
      </c>
      <c r="O37" t="s">
        <v>307</v>
      </c>
      <c r="R37" t="s">
        <v>281</v>
      </c>
      <c r="S37" t="s">
        <v>281</v>
      </c>
      <c r="T37" t="s">
        <v>282</v>
      </c>
      <c r="U37" t="s">
        <v>343</v>
      </c>
      <c r="V37" t="s">
        <v>344</v>
      </c>
      <c r="W37" t="s">
        <v>248</v>
      </c>
      <c r="X37" t="s">
        <v>283</v>
      </c>
      <c r="Y37" t="s">
        <v>284</v>
      </c>
      <c r="Z37" t="s">
        <v>283</v>
      </c>
      <c r="AA37" t="s">
        <v>165</v>
      </c>
      <c r="AB37" t="s">
        <v>165</v>
      </c>
      <c r="AC37" t="s">
        <v>275</v>
      </c>
      <c r="AD37" t="s">
        <v>246</v>
      </c>
      <c r="AE37" t="s">
        <v>285</v>
      </c>
      <c r="AF37" t="s">
        <v>165</v>
      </c>
      <c r="AG37" t="s">
        <v>165</v>
      </c>
      <c r="AH37" t="s">
        <v>165</v>
      </c>
    </row>
    <row r="38" spans="1:34" x14ac:dyDescent="0.3">
      <c r="A38" t="s">
        <v>70</v>
      </c>
      <c r="B38" t="s">
        <v>71</v>
      </c>
      <c r="C38">
        <v>5</v>
      </c>
      <c r="D38">
        <v>3</v>
      </c>
      <c r="E38" t="s">
        <v>182</v>
      </c>
      <c r="K38" t="s">
        <v>61</v>
      </c>
      <c r="L38" t="s">
        <v>179</v>
      </c>
      <c r="M38">
        <v>18</v>
      </c>
      <c r="N38">
        <v>12</v>
      </c>
      <c r="O38" t="s">
        <v>139</v>
      </c>
    </row>
    <row r="39" spans="1:34" x14ac:dyDescent="0.3">
      <c r="A39" t="s">
        <v>70</v>
      </c>
      <c r="B39" t="s">
        <v>157</v>
      </c>
      <c r="C39">
        <v>25</v>
      </c>
      <c r="D39">
        <v>21</v>
      </c>
      <c r="E39" t="s">
        <v>327</v>
      </c>
      <c r="K39" t="s">
        <v>61</v>
      </c>
      <c r="L39" t="s">
        <v>68</v>
      </c>
      <c r="M39">
        <v>214</v>
      </c>
      <c r="N39">
        <v>318</v>
      </c>
      <c r="O39" t="s">
        <v>366</v>
      </c>
    </row>
    <row r="40" spans="1:34" x14ac:dyDescent="0.3">
      <c r="A40" t="s">
        <v>158</v>
      </c>
      <c r="B40" t="s">
        <v>158</v>
      </c>
      <c r="C40">
        <v>32</v>
      </c>
      <c r="D40">
        <v>30</v>
      </c>
      <c r="E40" t="s">
        <v>212</v>
      </c>
      <c r="K40" t="s">
        <v>155</v>
      </c>
      <c r="L40" t="s">
        <v>155</v>
      </c>
      <c r="M40">
        <v>214</v>
      </c>
      <c r="N40">
        <v>318</v>
      </c>
      <c r="O40" t="s">
        <v>366</v>
      </c>
    </row>
    <row r="41" spans="1:34" x14ac:dyDescent="0.3">
      <c r="A41" t="s">
        <v>116</v>
      </c>
      <c r="B41" t="s">
        <v>116</v>
      </c>
      <c r="C41">
        <v>619</v>
      </c>
      <c r="D41" s="38">
        <v>1151</v>
      </c>
      <c r="E41" t="s">
        <v>369</v>
      </c>
      <c r="K41" t="s">
        <v>70</v>
      </c>
      <c r="L41" t="s">
        <v>180</v>
      </c>
      <c r="M41">
        <v>87</v>
      </c>
      <c r="N41">
        <v>2</v>
      </c>
      <c r="O41" t="s">
        <v>121</v>
      </c>
      <c r="R41" t="s">
        <v>227</v>
      </c>
      <c r="S41" s="56" t="s">
        <v>228</v>
      </c>
      <c r="T41" t="s">
        <v>229</v>
      </c>
      <c r="U41" t="s">
        <v>230</v>
      </c>
      <c r="V41" t="s">
        <v>231</v>
      </c>
    </row>
    <row r="42" spans="1:34" x14ac:dyDescent="0.3">
      <c r="K42" t="s">
        <v>70</v>
      </c>
      <c r="L42" t="s">
        <v>181</v>
      </c>
      <c r="M42">
        <v>6</v>
      </c>
      <c r="N42">
        <v>0</v>
      </c>
      <c r="O42" t="s">
        <v>56</v>
      </c>
      <c r="R42" t="s">
        <v>244</v>
      </c>
      <c r="S42" s="56" t="s">
        <v>245</v>
      </c>
      <c r="T42" s="56">
        <f t="shared" ref="T42:V42" si="0">IFERROR(VALUE(T16),"")</f>
        <v>1</v>
      </c>
      <c r="U42" s="56">
        <f t="shared" si="0"/>
        <v>5</v>
      </c>
      <c r="V42" s="56">
        <f t="shared" si="0"/>
        <v>5</v>
      </c>
    </row>
    <row r="43" spans="1:34" x14ac:dyDescent="0.3">
      <c r="K43" t="s">
        <v>158</v>
      </c>
      <c r="L43" t="s">
        <v>158</v>
      </c>
      <c r="M43">
        <v>93</v>
      </c>
      <c r="N43">
        <v>2</v>
      </c>
      <c r="O43" t="s">
        <v>121</v>
      </c>
      <c r="R43" t="s">
        <v>249</v>
      </c>
      <c r="S43" s="56" t="s">
        <v>250</v>
      </c>
      <c r="T43" s="56">
        <f t="shared" ref="T43:V43" si="1">IFERROR(VALUE(T17),"")</f>
        <v>15</v>
      </c>
      <c r="U43" s="56">
        <f t="shared" si="1"/>
        <v>1</v>
      </c>
      <c r="V43" s="56">
        <f t="shared" si="1"/>
        <v>7.0000000000000007E-2</v>
      </c>
    </row>
    <row r="44" spans="1:34" x14ac:dyDescent="0.3">
      <c r="K44" t="s">
        <v>116</v>
      </c>
      <c r="L44" t="s">
        <v>116</v>
      </c>
      <c r="M44">
        <v>307</v>
      </c>
      <c r="N44" s="38">
        <v>320</v>
      </c>
      <c r="O44" t="s">
        <v>302</v>
      </c>
      <c r="R44" t="s">
        <v>249</v>
      </c>
      <c r="S44" s="56" t="s">
        <v>252</v>
      </c>
      <c r="T44" s="56" t="str">
        <f t="shared" ref="T44:V44" si="2">IFERROR(VALUE(T18),"")</f>
        <v/>
      </c>
      <c r="U44" s="56" t="str">
        <f t="shared" si="2"/>
        <v/>
      </c>
      <c r="V44" s="56" t="str">
        <f t="shared" si="2"/>
        <v/>
      </c>
    </row>
    <row r="45" spans="1:34" x14ac:dyDescent="0.3">
      <c r="R45" t="s">
        <v>249</v>
      </c>
      <c r="S45" s="56" t="s">
        <v>254</v>
      </c>
      <c r="T45" s="56" t="str">
        <f t="shared" ref="T45:V45" si="3">IFERROR(VALUE(T19),"")</f>
        <v/>
      </c>
      <c r="U45" s="56" t="str">
        <f t="shared" si="3"/>
        <v/>
      </c>
      <c r="V45" s="56" t="str">
        <f t="shared" si="3"/>
        <v/>
      </c>
    </row>
    <row r="46" spans="1:34" x14ac:dyDescent="0.3">
      <c r="R46" t="s">
        <v>255</v>
      </c>
      <c r="S46" s="56" t="s">
        <v>256</v>
      </c>
      <c r="T46" s="56">
        <f t="shared" ref="T46:V46" si="4">IFERROR(VALUE(T20),"")</f>
        <v>10</v>
      </c>
      <c r="U46" s="56" t="str">
        <f t="shared" si="4"/>
        <v/>
      </c>
      <c r="V46" s="56" t="str">
        <f t="shared" si="4"/>
        <v/>
      </c>
    </row>
    <row r="47" spans="1:34" x14ac:dyDescent="0.3">
      <c r="R47" t="s">
        <v>255</v>
      </c>
      <c r="S47" s="56" t="s">
        <v>258</v>
      </c>
      <c r="T47" s="56">
        <f t="shared" ref="T47:V47" si="5">IFERROR(VALUE(T21),"")</f>
        <v>20</v>
      </c>
      <c r="U47" s="56">
        <f t="shared" si="5"/>
        <v>16</v>
      </c>
      <c r="V47" s="56">
        <f t="shared" si="5"/>
        <v>0.8</v>
      </c>
    </row>
    <row r="48" spans="1:34" x14ac:dyDescent="0.3">
      <c r="R48" t="s">
        <v>255</v>
      </c>
      <c r="S48" s="56" t="s">
        <v>260</v>
      </c>
      <c r="T48" s="56">
        <f t="shared" ref="T48:V48" si="6">IFERROR(VALUE(T22),"")</f>
        <v>15</v>
      </c>
      <c r="U48" s="56">
        <f t="shared" si="6"/>
        <v>12</v>
      </c>
      <c r="V48" s="56">
        <f t="shared" si="6"/>
        <v>0.8</v>
      </c>
    </row>
    <row r="49" spans="18:22" x14ac:dyDescent="0.3">
      <c r="R49" t="s">
        <v>255</v>
      </c>
      <c r="S49" s="56" t="s">
        <v>262</v>
      </c>
      <c r="T49" s="56">
        <f t="shared" ref="T49:V49" si="7">IFERROR(VALUE(T23),"")</f>
        <v>7</v>
      </c>
      <c r="U49" s="56" t="str">
        <f t="shared" si="7"/>
        <v/>
      </c>
      <c r="V49" s="56">
        <f t="shared" si="7"/>
        <v>1.29</v>
      </c>
    </row>
    <row r="50" spans="18:22" x14ac:dyDescent="0.3">
      <c r="R50" t="s">
        <v>255</v>
      </c>
      <c r="S50" s="56" t="s">
        <v>263</v>
      </c>
      <c r="T50" s="56">
        <f t="shared" ref="T50:V50" si="8">IFERROR(VALUE(T24),"")</f>
        <v>7</v>
      </c>
      <c r="U50" s="56" t="str">
        <f t="shared" si="8"/>
        <v/>
      </c>
      <c r="V50" s="56">
        <f t="shared" si="8"/>
        <v>1.29</v>
      </c>
    </row>
    <row r="51" spans="18:22" x14ac:dyDescent="0.3">
      <c r="R51" t="s">
        <v>255</v>
      </c>
      <c r="S51" s="56" t="s">
        <v>264</v>
      </c>
      <c r="T51" s="56">
        <f t="shared" ref="T51:V51" si="9">IFERROR(VALUE(T25),"")</f>
        <v>7</v>
      </c>
      <c r="U51" s="56" t="str">
        <f t="shared" si="9"/>
        <v/>
      </c>
      <c r="V51" s="56">
        <f t="shared" si="9"/>
        <v>1.29</v>
      </c>
    </row>
    <row r="52" spans="18:22" x14ac:dyDescent="0.3">
      <c r="R52" t="s">
        <v>255</v>
      </c>
      <c r="S52" s="56" t="s">
        <v>265</v>
      </c>
      <c r="T52" s="56">
        <f t="shared" ref="T52:V52" si="10">IFERROR(VALUE(T26),"")</f>
        <v>7</v>
      </c>
      <c r="U52" s="56">
        <f t="shared" si="10"/>
        <v>9</v>
      </c>
      <c r="V52" s="56">
        <f t="shared" si="10"/>
        <v>1.29</v>
      </c>
    </row>
    <row r="53" spans="18:22" x14ac:dyDescent="0.3">
      <c r="R53" t="s">
        <v>255</v>
      </c>
      <c r="S53" s="56" t="s">
        <v>266</v>
      </c>
      <c r="T53" s="56" t="str">
        <f t="shared" ref="T53:V53" si="11">IFERROR(VALUE(T27),"")</f>
        <v/>
      </c>
      <c r="U53" s="56" t="str">
        <f t="shared" si="11"/>
        <v/>
      </c>
      <c r="V53" s="56" t="str">
        <f t="shared" si="11"/>
        <v/>
      </c>
    </row>
    <row r="54" spans="18:22" x14ac:dyDescent="0.3">
      <c r="R54" t="s">
        <v>255</v>
      </c>
      <c r="S54" s="56" t="s">
        <v>267</v>
      </c>
      <c r="T54" s="56" t="str">
        <f t="shared" ref="T54:V54" si="12">IFERROR(VALUE(T28),"")</f>
        <v/>
      </c>
      <c r="U54" s="56" t="str">
        <f t="shared" si="12"/>
        <v/>
      </c>
      <c r="V54" s="56" t="str">
        <f t="shared" si="12"/>
        <v/>
      </c>
    </row>
    <row r="55" spans="18:22" x14ac:dyDescent="0.3">
      <c r="R55" t="s">
        <v>268</v>
      </c>
      <c r="S55" s="56" t="s">
        <v>269</v>
      </c>
      <c r="T55" s="56">
        <f t="shared" ref="T55:V55" si="13">IFERROR(VALUE(T29),"")</f>
        <v>1</v>
      </c>
      <c r="U55" s="56">
        <f t="shared" si="13"/>
        <v>12</v>
      </c>
      <c r="V55" s="56">
        <f t="shared" si="13"/>
        <v>34</v>
      </c>
    </row>
    <row r="56" spans="18:22" x14ac:dyDescent="0.3">
      <c r="R56" t="s">
        <v>268</v>
      </c>
      <c r="S56" s="56" t="s">
        <v>273</v>
      </c>
      <c r="T56" s="56">
        <f t="shared" ref="T56:V56" si="14">IFERROR(VALUE(T30),"")</f>
        <v>1</v>
      </c>
      <c r="U56" s="56">
        <f t="shared" si="14"/>
        <v>2</v>
      </c>
      <c r="V56" s="56">
        <f t="shared" si="14"/>
        <v>34</v>
      </c>
    </row>
    <row r="57" spans="18:22" x14ac:dyDescent="0.3">
      <c r="R57" t="s">
        <v>268</v>
      </c>
      <c r="S57" s="56" t="s">
        <v>274</v>
      </c>
      <c r="T57" s="56">
        <f t="shared" ref="T57:V57" si="15">IFERROR(VALUE(T31),"")</f>
        <v>1</v>
      </c>
      <c r="U57" s="56">
        <f t="shared" si="15"/>
        <v>12</v>
      </c>
      <c r="V57" s="56">
        <f t="shared" si="15"/>
        <v>34</v>
      </c>
    </row>
    <row r="58" spans="18:22" x14ac:dyDescent="0.3">
      <c r="R58" t="s">
        <v>268</v>
      </c>
      <c r="S58" s="56" t="s">
        <v>276</v>
      </c>
      <c r="T58" s="56">
        <f t="shared" ref="T58:V58" si="16">IFERROR(VALUE(T32),"")</f>
        <v>1</v>
      </c>
      <c r="U58" s="56">
        <f t="shared" si="16"/>
        <v>4</v>
      </c>
      <c r="V58" s="56">
        <f t="shared" si="16"/>
        <v>34</v>
      </c>
    </row>
    <row r="59" spans="18:22" x14ac:dyDescent="0.3">
      <c r="R59" t="s">
        <v>268</v>
      </c>
      <c r="S59" s="56" t="s">
        <v>277</v>
      </c>
      <c r="T59" s="56">
        <f t="shared" ref="T59:V59" si="17">IFERROR(VALUE(T33),"")</f>
        <v>1</v>
      </c>
      <c r="U59" s="56" t="str">
        <f t="shared" si="17"/>
        <v/>
      </c>
      <c r="V59" s="56">
        <f t="shared" si="17"/>
        <v>34</v>
      </c>
    </row>
    <row r="60" spans="18:22" x14ac:dyDescent="0.3">
      <c r="R60" t="s">
        <v>268</v>
      </c>
      <c r="S60" s="56" t="s">
        <v>278</v>
      </c>
      <c r="T60" s="56">
        <f t="shared" ref="T60:V60" si="18">IFERROR(VALUE(T34),"")</f>
        <v>1</v>
      </c>
      <c r="U60" s="56">
        <f t="shared" si="18"/>
        <v>2</v>
      </c>
      <c r="V60" s="56">
        <f t="shared" si="18"/>
        <v>34</v>
      </c>
    </row>
    <row r="61" spans="18:22" x14ac:dyDescent="0.3">
      <c r="R61" t="s">
        <v>268</v>
      </c>
      <c r="S61" s="56" t="s">
        <v>279</v>
      </c>
      <c r="T61" s="56">
        <f t="shared" ref="T61:V61" si="19">IFERROR(VALUE(T35),"")</f>
        <v>1</v>
      </c>
      <c r="U61" s="56" t="str">
        <f t="shared" si="19"/>
        <v/>
      </c>
      <c r="V61" s="56">
        <f t="shared" si="19"/>
        <v>34</v>
      </c>
    </row>
    <row r="62" spans="18:22" x14ac:dyDescent="0.3">
      <c r="R62" s="56" t="s">
        <v>268</v>
      </c>
      <c r="S62" s="56" t="s">
        <v>280</v>
      </c>
      <c r="T62" s="56">
        <f t="shared" ref="T62:V62" si="20">IFERROR(VALUE(T36),"")</f>
        <v>1</v>
      </c>
      <c r="U62" s="56">
        <f t="shared" si="20"/>
        <v>2</v>
      </c>
      <c r="V62" s="56">
        <f t="shared" si="20"/>
        <v>34</v>
      </c>
    </row>
    <row r="63" spans="18:22" x14ac:dyDescent="0.3">
      <c r="R63" t="s">
        <v>281</v>
      </c>
      <c r="S63" t="s">
        <v>281</v>
      </c>
      <c r="T63" s="56">
        <f>SUM(T42:T62)</f>
        <v>97</v>
      </c>
      <c r="U63">
        <f t="shared" ref="U63:V63" si="21">SUM(U42:U62)</f>
        <v>77</v>
      </c>
      <c r="V63">
        <f t="shared" si="21"/>
        <v>283.83</v>
      </c>
    </row>
  </sheetData>
  <phoneticPr fontId="2" type="noConversion"/>
  <hyperlinks>
    <hyperlink ref="S1" r:id="rId1" xr:uid="{6B504DD2-ABB6-4D28-AC66-54EE0173998B}"/>
    <hyperlink ref="S2" r:id="rId2" xr:uid="{A45F7D38-CA07-4F92-89EA-7E663DCA219C}"/>
    <hyperlink ref="S3" r:id="rId3" xr:uid="{CB60F604-5CDA-443A-842F-663CCC48363B}"/>
    <hyperlink ref="S4" r:id="rId4" xr:uid="{ACF6397D-BE18-4FC3-B012-D9DE8AD7C145}"/>
    <hyperlink ref="S5" r:id="rId5" xr:uid="{A9CFF76E-B55D-4EE0-B300-A67B40539F8F}"/>
    <hyperlink ref="S9" r:id="rId6" xr:uid="{6609435E-C882-47DC-A040-357DB4F8C05A}"/>
    <hyperlink ref="S10" r:id="rId7" xr:uid="{7F837516-3238-48AF-B030-7F80864C0219}"/>
    <hyperlink ref="S7" r:id="rId8" xr:uid="{C81FE5D2-DCFB-42DA-832B-D59F50038DD7}"/>
    <hyperlink ref="S8" r:id="rId9" xr:uid="{0FC7F020-AAB5-48BE-B694-568AFE300A5A}"/>
    <hyperlink ref="S6" r:id="rId10" xr:uid="{B2970415-2A8D-4082-B17C-FC51ADE5D5C5}"/>
  </hyperlinks>
  <pageMargins left="0.7" right="0.7" top="0.75" bottom="0.75" header="0.3" footer="0.3"/>
  <pageSetup paperSize="9" orientation="portrait" verticalDpi="0" r:id="rId11"/>
  <tableParts count="11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5E95-D5F8-441E-8E60-30548C0812AE}">
  <sheetPr codeName="Sheet4"/>
  <dimension ref="A1:T14"/>
  <sheetViews>
    <sheetView workbookViewId="0">
      <selection activeCell="S4" sqref="S4"/>
    </sheetView>
  </sheetViews>
  <sheetFormatPr defaultRowHeight="16.5" x14ac:dyDescent="0.3"/>
  <sheetData>
    <row r="1" spans="1:20" x14ac:dyDescent="0.3">
      <c r="A1" s="2" t="s">
        <v>0</v>
      </c>
    </row>
    <row r="2" spans="1:20" x14ac:dyDescent="0.3">
      <c r="A2" s="187" t="s">
        <v>1</v>
      </c>
      <c r="B2" s="189" t="s">
        <v>2</v>
      </c>
      <c r="C2" s="189"/>
      <c r="D2" s="189"/>
      <c r="E2" s="189"/>
      <c r="F2" s="189" t="s">
        <v>3</v>
      </c>
      <c r="G2" s="189"/>
      <c r="H2" s="189"/>
      <c r="I2" s="189"/>
      <c r="J2" s="189" t="s">
        <v>4</v>
      </c>
      <c r="K2" s="189"/>
      <c r="L2" s="189"/>
      <c r="M2" s="189"/>
      <c r="N2" s="189" t="s">
        <v>5</v>
      </c>
      <c r="O2" s="189"/>
      <c r="P2" s="191"/>
      <c r="Q2" s="186" t="s">
        <v>6</v>
      </c>
      <c r="R2" s="186"/>
      <c r="S2" s="186"/>
      <c r="T2" s="186"/>
    </row>
    <row r="3" spans="1:20" x14ac:dyDescent="0.3">
      <c r="A3" s="188"/>
      <c r="B3" s="3">
        <v>2024</v>
      </c>
      <c r="C3" s="3">
        <v>2025</v>
      </c>
      <c r="D3" s="3">
        <v>2026</v>
      </c>
      <c r="E3" s="20" t="s">
        <v>7</v>
      </c>
      <c r="F3" s="3">
        <v>2024</v>
      </c>
      <c r="G3" s="3">
        <v>2025</v>
      </c>
      <c r="H3" s="3">
        <v>2026</v>
      </c>
      <c r="I3" s="20" t="s">
        <v>7</v>
      </c>
      <c r="J3" s="3">
        <v>2024</v>
      </c>
      <c r="K3" s="3">
        <v>2025</v>
      </c>
      <c r="L3" s="3">
        <v>2026</v>
      </c>
      <c r="M3" s="20" t="s">
        <v>7</v>
      </c>
      <c r="N3" s="3">
        <v>2024</v>
      </c>
      <c r="O3" s="3">
        <v>2025</v>
      </c>
      <c r="P3" s="21" t="s">
        <v>7</v>
      </c>
      <c r="Q3" s="4">
        <v>2024</v>
      </c>
      <c r="R3" s="3">
        <v>2025</v>
      </c>
      <c r="S3" s="3">
        <v>2026</v>
      </c>
      <c r="T3" s="5" t="s">
        <v>7</v>
      </c>
    </row>
    <row r="4" spans="1:20" x14ac:dyDescent="0.3">
      <c r="A4" s="6" t="s">
        <v>8</v>
      </c>
      <c r="B4" s="7">
        <v>2553</v>
      </c>
      <c r="C4" s="22">
        <v>2543</v>
      </c>
      <c r="D4" s="22">
        <v>2543</v>
      </c>
      <c r="E4" s="23">
        <v>-10</v>
      </c>
      <c r="F4" s="22">
        <v>639</v>
      </c>
      <c r="G4" s="22">
        <v>644</v>
      </c>
      <c r="H4" s="22">
        <v>644</v>
      </c>
      <c r="I4" s="23">
        <v>5</v>
      </c>
      <c r="J4" s="24">
        <v>5853</v>
      </c>
      <c r="K4" s="8">
        <v>6259</v>
      </c>
      <c r="L4" s="22">
        <f>'2026학년도 대학별 수시2차 지원현황'!M5</f>
        <v>822</v>
      </c>
      <c r="M4" s="57">
        <f>'2026학년도 대학별 수시2차 지원현황'!N5</f>
        <v>5437</v>
      </c>
      <c r="N4" s="26">
        <v>9.15962441314554</v>
      </c>
      <c r="O4" s="25">
        <v>9.7189440993788825</v>
      </c>
      <c r="P4" s="27">
        <v>0.55931968623334249</v>
      </c>
      <c r="Q4" s="28">
        <v>6308</v>
      </c>
      <c r="R4" s="9">
        <v>6697</v>
      </c>
      <c r="S4" s="22">
        <v>1</v>
      </c>
      <c r="T4" s="29">
        <v>389</v>
      </c>
    </row>
    <row r="5" spans="1:20" x14ac:dyDescent="0.3">
      <c r="A5" s="10" t="s">
        <v>9</v>
      </c>
      <c r="B5" s="11">
        <v>2235</v>
      </c>
      <c r="C5" s="30">
        <v>2115</v>
      </c>
      <c r="D5" s="30">
        <v>2135</v>
      </c>
      <c r="E5" s="31">
        <v>-120</v>
      </c>
      <c r="F5" s="30">
        <v>654</v>
      </c>
      <c r="G5" s="30">
        <v>622</v>
      </c>
      <c r="H5" s="30">
        <v>620</v>
      </c>
      <c r="I5" s="31">
        <v>-32</v>
      </c>
      <c r="J5" s="32">
        <v>3806</v>
      </c>
      <c r="K5" s="12">
        <v>3712</v>
      </c>
      <c r="L5" s="22">
        <f>'2026학년도 대학별 수시2차 지원현황'!M6</f>
        <v>350</v>
      </c>
      <c r="M5" s="57">
        <f>'2026학년도 대학별 수시2차 지원현황'!N6</f>
        <v>3362</v>
      </c>
      <c r="N5" s="34">
        <v>5.8195718654434252</v>
      </c>
      <c r="O5" s="33">
        <v>5.967845659163987</v>
      </c>
      <c r="P5" s="35">
        <v>0.14827379372056182</v>
      </c>
      <c r="Q5" s="36">
        <v>3818</v>
      </c>
      <c r="R5" s="13">
        <v>3734</v>
      </c>
      <c r="S5" s="30">
        <v>1</v>
      </c>
      <c r="T5" s="37">
        <v>-84</v>
      </c>
    </row>
    <row r="6" spans="1:20" x14ac:dyDescent="0.3">
      <c r="A6" s="6" t="s">
        <v>10</v>
      </c>
      <c r="B6" s="7">
        <v>2426</v>
      </c>
      <c r="C6" s="22">
        <v>2280</v>
      </c>
      <c r="D6" s="22">
        <v>2314</v>
      </c>
      <c r="E6" s="23">
        <v>-146</v>
      </c>
      <c r="F6" s="22">
        <v>697</v>
      </c>
      <c r="G6" s="22">
        <v>640</v>
      </c>
      <c r="H6" s="22">
        <v>659</v>
      </c>
      <c r="I6" s="23">
        <v>-57</v>
      </c>
      <c r="J6" s="24">
        <v>5464</v>
      </c>
      <c r="K6" s="14">
        <v>6725</v>
      </c>
      <c r="L6" s="22">
        <f>'2026학년도 대학별 수시2차 지원현황'!M7</f>
        <v>614</v>
      </c>
      <c r="M6" s="57">
        <f>'2026학년도 대학별 수시2차 지원현황'!N7</f>
        <v>6111</v>
      </c>
      <c r="N6" s="26">
        <v>7.8393113342898131</v>
      </c>
      <c r="O6" s="25">
        <v>10.5078125</v>
      </c>
      <c r="P6" s="27">
        <v>2.6685011657101869</v>
      </c>
      <c r="Q6" s="28">
        <v>5527</v>
      </c>
      <c r="R6" s="9">
        <v>6827</v>
      </c>
      <c r="S6" s="22">
        <v>1</v>
      </c>
      <c r="T6" s="29">
        <v>1300</v>
      </c>
    </row>
    <row r="7" spans="1:20" x14ac:dyDescent="0.3">
      <c r="A7" s="10" t="s">
        <v>11</v>
      </c>
      <c r="B7" s="11">
        <v>2289</v>
      </c>
      <c r="C7" s="30">
        <v>2289</v>
      </c>
      <c r="D7" s="30">
        <v>2226</v>
      </c>
      <c r="E7" s="31">
        <v>0</v>
      </c>
      <c r="F7" s="30">
        <v>329</v>
      </c>
      <c r="G7" s="30">
        <v>342</v>
      </c>
      <c r="H7" s="30">
        <v>376</v>
      </c>
      <c r="I7" s="31">
        <v>13</v>
      </c>
      <c r="J7" s="32">
        <v>2905</v>
      </c>
      <c r="K7" s="12">
        <v>3414</v>
      </c>
      <c r="L7" s="22">
        <f>'2026학년도 대학별 수시2차 지원현황'!M8</f>
        <v>464</v>
      </c>
      <c r="M7" s="57">
        <f>'2026학년도 대학별 수시2차 지원현황'!N8</f>
        <v>2950</v>
      </c>
      <c r="N7" s="34">
        <v>8.8297872340425538</v>
      </c>
      <c r="O7" s="33">
        <v>9.9824561403508767</v>
      </c>
      <c r="P7" s="35">
        <v>1.1526689063083229</v>
      </c>
      <c r="Q7" s="36">
        <v>2905</v>
      </c>
      <c r="R7" s="13">
        <v>3414</v>
      </c>
      <c r="S7" s="30">
        <v>1</v>
      </c>
      <c r="T7" s="37">
        <v>509</v>
      </c>
    </row>
    <row r="8" spans="1:20" x14ac:dyDescent="0.3">
      <c r="A8" s="6" t="s">
        <v>12</v>
      </c>
      <c r="B8" s="7">
        <v>2212</v>
      </c>
      <c r="C8" s="22">
        <v>2216</v>
      </c>
      <c r="D8" s="22">
        <v>2191</v>
      </c>
      <c r="E8" s="23">
        <v>4</v>
      </c>
      <c r="F8" s="22">
        <v>583</v>
      </c>
      <c r="G8" s="22">
        <v>590</v>
      </c>
      <c r="H8" s="22">
        <v>587</v>
      </c>
      <c r="I8" s="23">
        <v>7</v>
      </c>
      <c r="J8" s="24">
        <v>5672</v>
      </c>
      <c r="K8" s="14">
        <v>7008</v>
      </c>
      <c r="L8" s="22">
        <f>'2026학년도 대학별 수시2차 지원현황'!M9</f>
        <v>1121</v>
      </c>
      <c r="M8" s="57">
        <f>'2026학년도 대학별 수시2차 지원현황'!N9</f>
        <v>5887</v>
      </c>
      <c r="N8" s="26">
        <v>9.7289879931389365</v>
      </c>
      <c r="O8" s="25">
        <v>11.877966101694915</v>
      </c>
      <c r="P8" s="27">
        <v>2.148978108555978</v>
      </c>
      <c r="Q8" s="28">
        <v>5676</v>
      </c>
      <c r="R8" s="9">
        <v>7019</v>
      </c>
      <c r="S8" s="22">
        <v>1</v>
      </c>
      <c r="T8" s="29">
        <v>1343</v>
      </c>
    </row>
    <row r="9" spans="1:20" x14ac:dyDescent="0.3">
      <c r="A9" s="10" t="s">
        <v>13</v>
      </c>
      <c r="B9" s="11">
        <v>2191</v>
      </c>
      <c r="C9" s="30">
        <v>2181</v>
      </c>
      <c r="D9" s="30">
        <v>2130</v>
      </c>
      <c r="E9" s="31">
        <v>-10</v>
      </c>
      <c r="F9" s="30">
        <v>642</v>
      </c>
      <c r="G9" s="30">
        <v>623</v>
      </c>
      <c r="H9" s="30">
        <v>579</v>
      </c>
      <c r="I9" s="31">
        <v>-19</v>
      </c>
      <c r="J9" s="32">
        <v>6531</v>
      </c>
      <c r="K9" s="12">
        <v>6407</v>
      </c>
      <c r="L9" s="22">
        <f>'2026학년도 대학별 수시2차 지원현황'!M10</f>
        <v>818</v>
      </c>
      <c r="M9" s="57">
        <f>'2026학년도 대학별 수시2차 지원현황'!N10</f>
        <v>5589</v>
      </c>
      <c r="N9" s="34">
        <v>10.172897196261681</v>
      </c>
      <c r="O9" s="33">
        <v>10.284109149277688</v>
      </c>
      <c r="P9" s="35">
        <v>0.1112119530160065</v>
      </c>
      <c r="Q9" s="36">
        <v>6924</v>
      </c>
      <c r="R9" s="13">
        <v>6827</v>
      </c>
      <c r="S9" s="30">
        <v>1</v>
      </c>
      <c r="T9" s="37">
        <v>-97</v>
      </c>
    </row>
    <row r="10" spans="1:20" x14ac:dyDescent="0.3">
      <c r="A10" s="6" t="s">
        <v>14</v>
      </c>
      <c r="B10" s="7">
        <v>2167</v>
      </c>
      <c r="C10" s="22">
        <v>2164</v>
      </c>
      <c r="D10" s="22">
        <v>2190</v>
      </c>
      <c r="E10" s="23">
        <v>-3</v>
      </c>
      <c r="F10" s="22">
        <v>468</v>
      </c>
      <c r="G10" s="22">
        <v>468</v>
      </c>
      <c r="H10" s="22">
        <v>480</v>
      </c>
      <c r="I10" s="23">
        <v>0</v>
      </c>
      <c r="J10" s="24">
        <v>2322</v>
      </c>
      <c r="K10" s="14">
        <v>3388</v>
      </c>
      <c r="L10" s="22">
        <f>'2026학년도 대학별 수시2차 지원현황'!M11</f>
        <v>479</v>
      </c>
      <c r="M10" s="57">
        <f>'2026학년도 대학별 수시2차 지원현황'!N11</f>
        <v>2909</v>
      </c>
      <c r="N10" s="26">
        <v>4.9615384615384617</v>
      </c>
      <c r="O10" s="25">
        <v>7.2393162393162394</v>
      </c>
      <c r="P10" s="27">
        <v>2.2777777777777777</v>
      </c>
      <c r="Q10" s="28">
        <v>2436</v>
      </c>
      <c r="R10" s="9">
        <v>3534</v>
      </c>
      <c r="S10" s="22">
        <v>1</v>
      </c>
      <c r="T10" s="29">
        <v>1098</v>
      </c>
    </row>
    <row r="11" spans="1:20" x14ac:dyDescent="0.3">
      <c r="A11" s="10" t="s">
        <v>15</v>
      </c>
      <c r="B11" s="11">
        <v>1703</v>
      </c>
      <c r="C11" s="30">
        <v>1695</v>
      </c>
      <c r="D11" s="30">
        <v>1691</v>
      </c>
      <c r="E11" s="31">
        <v>-8</v>
      </c>
      <c r="F11" s="30">
        <v>231</v>
      </c>
      <c r="G11" s="30">
        <v>212</v>
      </c>
      <c r="H11" s="30">
        <v>263</v>
      </c>
      <c r="I11" s="31">
        <v>-19</v>
      </c>
      <c r="J11" s="32">
        <v>2745</v>
      </c>
      <c r="K11" s="12">
        <v>3120</v>
      </c>
      <c r="L11" s="22">
        <f>'2026학년도 대학별 수시2차 지원현황'!M12</f>
        <v>467</v>
      </c>
      <c r="M11" s="57">
        <f>'2026학년도 대학별 수시2차 지원현황'!N12</f>
        <v>2653</v>
      </c>
      <c r="N11" s="34">
        <v>11.883116883116884</v>
      </c>
      <c r="O11" s="33">
        <v>14.716981132075471</v>
      </c>
      <c r="P11" s="35">
        <v>2.8338642489585872</v>
      </c>
      <c r="Q11" s="36">
        <v>2926</v>
      </c>
      <c r="R11" s="13">
        <v>3307</v>
      </c>
      <c r="S11" s="30">
        <v>1</v>
      </c>
      <c r="T11" s="37">
        <v>381</v>
      </c>
    </row>
    <row r="12" spans="1:20" x14ac:dyDescent="0.3">
      <c r="A12" s="6" t="s">
        <v>16</v>
      </c>
      <c r="B12" s="7">
        <v>1305</v>
      </c>
      <c r="C12" s="22">
        <v>1305</v>
      </c>
      <c r="D12" s="22">
        <v>1305</v>
      </c>
      <c r="E12" s="23">
        <v>0</v>
      </c>
      <c r="F12" s="22">
        <v>242</v>
      </c>
      <c r="G12" s="22">
        <v>257</v>
      </c>
      <c r="H12" s="22">
        <v>233</v>
      </c>
      <c r="I12" s="23">
        <v>15</v>
      </c>
      <c r="J12" s="24">
        <v>2204</v>
      </c>
      <c r="K12" s="14">
        <v>2699</v>
      </c>
      <c r="L12" s="22">
        <f>'2026학년도 대학별 수시2차 지원현황'!M13</f>
        <v>333</v>
      </c>
      <c r="M12" s="57">
        <f>'2026학년도 대학별 수시2차 지원현황'!N13</f>
        <v>2366</v>
      </c>
      <c r="N12" s="26">
        <v>9.1074380165289259</v>
      </c>
      <c r="O12" s="25">
        <v>10.501945525291829</v>
      </c>
      <c r="P12" s="27">
        <v>1.3945075087629029</v>
      </c>
      <c r="Q12" s="28">
        <v>2526</v>
      </c>
      <c r="R12" s="9">
        <v>2986</v>
      </c>
      <c r="S12" s="22">
        <v>1</v>
      </c>
      <c r="T12" s="29">
        <v>460</v>
      </c>
    </row>
    <row r="13" spans="1:20" x14ac:dyDescent="0.3">
      <c r="A13" s="10" t="s">
        <v>17</v>
      </c>
      <c r="B13" s="11">
        <v>1313</v>
      </c>
      <c r="C13" s="30">
        <v>1279</v>
      </c>
      <c r="D13" s="30">
        <v>1237</v>
      </c>
      <c r="E13" s="31">
        <v>-34</v>
      </c>
      <c r="F13" s="30">
        <v>241</v>
      </c>
      <c r="G13" s="30">
        <v>225</v>
      </c>
      <c r="H13" s="30">
        <v>214</v>
      </c>
      <c r="I13" s="31">
        <v>-16</v>
      </c>
      <c r="J13" s="32">
        <v>1751</v>
      </c>
      <c r="K13" s="12">
        <v>1840</v>
      </c>
      <c r="L13" s="22">
        <f>'2026학년도 대학별 수시2차 지원현황'!M14</f>
        <v>318</v>
      </c>
      <c r="M13" s="57">
        <f>'2026학년도 대학별 수시2차 지원현황'!N14</f>
        <v>1522</v>
      </c>
      <c r="N13" s="34">
        <v>7.2655601659751037</v>
      </c>
      <c r="O13" s="33">
        <v>8.1777777777777771</v>
      </c>
      <c r="P13" s="35">
        <v>0.91221761180267347</v>
      </c>
      <c r="Q13" s="36">
        <v>1772</v>
      </c>
      <c r="R13" s="13">
        <v>1868</v>
      </c>
      <c r="S13" s="30">
        <v>1</v>
      </c>
      <c r="T13" s="37">
        <v>96</v>
      </c>
    </row>
    <row r="14" spans="1:20" x14ac:dyDescent="0.3">
      <c r="A14" s="6" t="s">
        <v>18</v>
      </c>
      <c r="B14" s="7">
        <v>852</v>
      </c>
      <c r="C14" s="22">
        <v>822</v>
      </c>
      <c r="D14" s="22">
        <v>822</v>
      </c>
      <c r="E14" s="23">
        <v>-30</v>
      </c>
      <c r="F14" s="22">
        <v>293</v>
      </c>
      <c r="G14" s="22">
        <v>183</v>
      </c>
      <c r="H14" s="22">
        <v>64</v>
      </c>
      <c r="I14" s="23">
        <v>-110</v>
      </c>
      <c r="J14" s="24">
        <v>1222</v>
      </c>
      <c r="K14" s="14">
        <v>1929</v>
      </c>
      <c r="L14" s="22">
        <f>'2026학년도 대학별 수시2차 지원현황'!M15</f>
        <v>77</v>
      </c>
      <c r="M14" s="57">
        <f>'2026학년도 대학별 수시2차 지원현황'!N15</f>
        <v>1852</v>
      </c>
      <c r="N14" s="26">
        <v>4.1706484641638228</v>
      </c>
      <c r="O14" s="25">
        <v>10.540983606557377</v>
      </c>
      <c r="P14" s="27">
        <v>6.3703351423935546</v>
      </c>
      <c r="Q14" s="28">
        <v>1246</v>
      </c>
      <c r="R14" s="9">
        <v>1937</v>
      </c>
      <c r="S14" s="22">
        <v>1</v>
      </c>
      <c r="T14" s="29">
        <v>691</v>
      </c>
    </row>
  </sheetData>
  <mergeCells count="6">
    <mergeCell ref="Q2:T2"/>
    <mergeCell ref="A2:A3"/>
    <mergeCell ref="B2:E2"/>
    <mergeCell ref="F2:I2"/>
    <mergeCell ref="J2:M2"/>
    <mergeCell ref="N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C7DC-710C-4003-B23A-28230703F221}">
  <sheetPr codeName="Sheet5"/>
  <dimension ref="A1:AO76"/>
  <sheetViews>
    <sheetView tabSelected="1" zoomScaleNormal="100" workbookViewId="0">
      <selection activeCell="F4" sqref="F4"/>
    </sheetView>
  </sheetViews>
  <sheetFormatPr defaultRowHeight="16.5" x14ac:dyDescent="0.3"/>
  <cols>
    <col min="1" max="1" width="9.125" bestFit="1" customWidth="1"/>
    <col min="2" max="2" width="15.25" bestFit="1" customWidth="1"/>
    <col min="3" max="4" width="11.25" bestFit="1" customWidth="1"/>
    <col min="5" max="5" width="9.375" bestFit="1" customWidth="1"/>
    <col min="6" max="6" width="12.125" bestFit="1" customWidth="1"/>
    <col min="7" max="7" width="11.125" customWidth="1"/>
    <col min="8" max="8" width="14.625" bestFit="1" customWidth="1"/>
    <col min="9" max="9" width="12.125" customWidth="1"/>
    <col min="10" max="10" width="15.875" bestFit="1" customWidth="1"/>
    <col min="11" max="11" width="11.375" customWidth="1"/>
    <col min="12" max="12" width="16.75" bestFit="1" customWidth="1"/>
    <col min="14" max="14" width="9.125" bestFit="1" customWidth="1"/>
    <col min="15" max="15" width="21.5" bestFit="1" customWidth="1"/>
    <col min="16" max="17" width="11.25" bestFit="1" customWidth="1"/>
    <col min="18" max="18" width="9.375" bestFit="1" customWidth="1"/>
    <col min="20" max="20" width="9.125" bestFit="1" customWidth="1"/>
    <col min="21" max="21" width="21.5" bestFit="1" customWidth="1"/>
    <col min="22" max="23" width="11.25" bestFit="1" customWidth="1"/>
    <col min="24" max="24" width="9.375" bestFit="1" customWidth="1"/>
    <col min="26" max="26" width="9.125" bestFit="1" customWidth="1"/>
    <col min="27" max="27" width="21.5" bestFit="1" customWidth="1"/>
    <col min="28" max="28" width="11.25" bestFit="1" customWidth="1"/>
    <col min="29" max="29" width="15.25" bestFit="1" customWidth="1"/>
    <col min="31" max="31" width="9.125" bestFit="1" customWidth="1"/>
    <col min="32" max="32" width="21.5" bestFit="1" customWidth="1"/>
    <col min="33" max="34" width="11.25" bestFit="1" customWidth="1"/>
    <col min="35" max="35" width="9.375" bestFit="1" customWidth="1"/>
    <col min="37" max="37" width="9.125" bestFit="1" customWidth="1"/>
    <col min="38" max="38" width="21.5" bestFit="1" customWidth="1"/>
    <col min="39" max="40" width="11.25" bestFit="1" customWidth="1"/>
    <col min="41" max="41" width="9.375" bestFit="1" customWidth="1"/>
  </cols>
  <sheetData>
    <row r="1" spans="1:41" x14ac:dyDescent="0.3">
      <c r="Z1" t="s">
        <v>127</v>
      </c>
    </row>
    <row r="2" spans="1:41" x14ac:dyDescent="0.3">
      <c r="A2" t="s">
        <v>124</v>
      </c>
      <c r="C2" s="205" t="s">
        <v>3</v>
      </c>
      <c r="D2" s="205"/>
      <c r="E2" s="205"/>
      <c r="F2" s="44">
        <f ca="1">TODAY()</f>
        <v>45972</v>
      </c>
      <c r="G2" s="43"/>
      <c r="N2" t="s">
        <v>123</v>
      </c>
      <c r="T2" t="s">
        <v>122</v>
      </c>
      <c r="Z2" t="s">
        <v>130</v>
      </c>
      <c r="AE2" t="s">
        <v>131</v>
      </c>
      <c r="AK2" t="s">
        <v>135</v>
      </c>
    </row>
    <row r="3" spans="1:41" x14ac:dyDescent="0.3">
      <c r="A3" s="38" t="s">
        <v>82</v>
      </c>
      <c r="B3" s="38" t="s">
        <v>83</v>
      </c>
      <c r="C3" s="38" t="s">
        <v>205</v>
      </c>
      <c r="D3" s="38" t="s">
        <v>206</v>
      </c>
      <c r="E3" s="38" t="s">
        <v>53</v>
      </c>
      <c r="F3" s="38" t="s">
        <v>55</v>
      </c>
      <c r="G3" s="38" t="s">
        <v>54</v>
      </c>
      <c r="H3" s="38" t="s">
        <v>207</v>
      </c>
      <c r="I3" s="38" t="s">
        <v>208</v>
      </c>
      <c r="J3" s="38" t="s">
        <v>209</v>
      </c>
      <c r="K3" s="38" t="s">
        <v>210</v>
      </c>
      <c r="L3" s="38" t="s">
        <v>211</v>
      </c>
      <c r="N3" t="s">
        <v>82</v>
      </c>
      <c r="O3" t="s">
        <v>83</v>
      </c>
      <c r="P3" t="s">
        <v>53</v>
      </c>
      <c r="Q3" t="s">
        <v>55</v>
      </c>
      <c r="R3" t="s">
        <v>54</v>
      </c>
      <c r="T3" t="s">
        <v>82</v>
      </c>
      <c r="U3" t="s">
        <v>83</v>
      </c>
      <c r="V3" t="s">
        <v>53</v>
      </c>
      <c r="W3" t="s">
        <v>55</v>
      </c>
      <c r="X3" t="s">
        <v>54</v>
      </c>
      <c r="Z3" t="s">
        <v>82</v>
      </c>
      <c r="AA3" t="s">
        <v>117</v>
      </c>
      <c r="AB3" t="s">
        <v>125</v>
      </c>
      <c r="AC3" t="s">
        <v>57</v>
      </c>
      <c r="AE3" t="s">
        <v>82</v>
      </c>
      <c r="AF3" t="s">
        <v>83</v>
      </c>
      <c r="AG3" t="s">
        <v>53</v>
      </c>
      <c r="AH3" t="s">
        <v>55</v>
      </c>
      <c r="AI3" t="s">
        <v>54</v>
      </c>
      <c r="AK3" t="s">
        <v>82</v>
      </c>
      <c r="AL3" t="s">
        <v>83</v>
      </c>
      <c r="AM3" t="s">
        <v>53</v>
      </c>
      <c r="AN3" t="s">
        <v>55</v>
      </c>
      <c r="AO3" t="s">
        <v>54</v>
      </c>
    </row>
    <row r="4" spans="1:41" x14ac:dyDescent="0.3">
      <c r="A4" t="s">
        <v>84</v>
      </c>
      <c r="B4" t="s">
        <v>85</v>
      </c>
      <c r="C4" s="54" t="s">
        <v>215</v>
      </c>
      <c r="D4">
        <v>16</v>
      </c>
      <c r="E4">
        <f>특성화고_경쟁률_현황__2[[#This Row],[모집인원]]+일반고_경쟁률_현황__4[[#This Row],[모집인원]]</f>
        <v>16</v>
      </c>
      <c r="F4">
        <f>특성화고_경쟁률_현황__2[[#This Row],[지원인원]]+일반고_경쟁률_현황__4[[#This Row],[지원인원]]</f>
        <v>13</v>
      </c>
      <c r="G4" s="55" t="str">
        <f>ROUND(AVERAGE(표26[[#This Row],[지원인원]]/표26[[#This Row],[모집인원]]),2)&amp;" : 1"</f>
        <v>0.81 : 1</v>
      </c>
      <c r="H4">
        <f>표26[[#This Row],[지원인원]]</f>
        <v>13</v>
      </c>
      <c r="I4">
        <f>표26[[#This Row],[지원인원]]</f>
        <v>13</v>
      </c>
      <c r="N4" t="s">
        <v>84</v>
      </c>
      <c r="O4" t="s">
        <v>86</v>
      </c>
      <c r="P4">
        <v>1</v>
      </c>
      <c r="Q4">
        <v>2</v>
      </c>
      <c r="R4" t="s">
        <v>140</v>
      </c>
      <c r="T4" t="s">
        <v>84</v>
      </c>
      <c r="U4" t="s">
        <v>86</v>
      </c>
      <c r="V4">
        <v>2</v>
      </c>
      <c r="W4">
        <v>2</v>
      </c>
      <c r="X4" t="s">
        <v>138</v>
      </c>
      <c r="Z4" t="s">
        <v>84</v>
      </c>
      <c r="AA4" t="s">
        <v>86</v>
      </c>
      <c r="AB4">
        <v>0</v>
      </c>
      <c r="AC4">
        <v>0</v>
      </c>
      <c r="AE4" t="s">
        <v>84</v>
      </c>
      <c r="AF4" t="s">
        <v>85</v>
      </c>
      <c r="AG4">
        <v>4</v>
      </c>
      <c r="AH4">
        <v>4</v>
      </c>
      <c r="AI4" t="s">
        <v>138</v>
      </c>
      <c r="AK4" t="s">
        <v>84</v>
      </c>
      <c r="AL4" t="s">
        <v>85</v>
      </c>
      <c r="AM4">
        <v>12</v>
      </c>
      <c r="AN4">
        <v>9</v>
      </c>
      <c r="AO4" t="s">
        <v>286</v>
      </c>
    </row>
    <row r="5" spans="1:41" x14ac:dyDescent="0.3">
      <c r="A5" t="s">
        <v>84</v>
      </c>
      <c r="B5" t="s">
        <v>86</v>
      </c>
      <c r="C5">
        <v>25</v>
      </c>
      <c r="D5">
        <v>23</v>
      </c>
      <c r="E5">
        <f>특성화고_경쟁률_현황__2[[#This Row],[모집인원]]+일반고_경쟁률_현황__4[[#This Row],[모집인원]]</f>
        <v>23</v>
      </c>
      <c r="F5">
        <f>특성화고_경쟁률_현황__2[[#This Row],[지원인원]]+일반고_경쟁률_현황__4[[#This Row],[지원인원]]</f>
        <v>24</v>
      </c>
      <c r="G5" s="55" t="str">
        <f>ROUND(AVERAGE(표26[[#This Row],[지원인원]]/표26[[#This Row],[모집인원]]),2)&amp;" : 1"</f>
        <v>1.04 : 1</v>
      </c>
      <c r="H5">
        <f>표26[[#This Row],[지원인원]]</f>
        <v>24</v>
      </c>
      <c r="I5">
        <f>표26[[#This Row],[지원인원]]</f>
        <v>24</v>
      </c>
      <c r="N5" t="s">
        <v>84</v>
      </c>
      <c r="O5" t="s">
        <v>87</v>
      </c>
      <c r="P5">
        <v>1</v>
      </c>
      <c r="Q5">
        <v>0</v>
      </c>
      <c r="R5" t="s">
        <v>56</v>
      </c>
      <c r="T5" t="s">
        <v>84</v>
      </c>
      <c r="U5" t="s">
        <v>87</v>
      </c>
      <c r="V5">
        <v>2</v>
      </c>
      <c r="W5">
        <v>0</v>
      </c>
      <c r="X5" t="s">
        <v>56</v>
      </c>
      <c r="Z5" t="s">
        <v>84</v>
      </c>
      <c r="AA5" t="s">
        <v>87</v>
      </c>
      <c r="AB5">
        <v>1</v>
      </c>
      <c r="AC5">
        <v>0</v>
      </c>
      <c r="AE5" t="s">
        <v>84</v>
      </c>
      <c r="AF5" t="s">
        <v>86</v>
      </c>
      <c r="AG5">
        <v>5</v>
      </c>
      <c r="AH5">
        <v>9</v>
      </c>
      <c r="AI5" t="s">
        <v>313</v>
      </c>
      <c r="AK5" t="s">
        <v>84</v>
      </c>
      <c r="AL5" t="s">
        <v>86</v>
      </c>
      <c r="AM5">
        <v>18</v>
      </c>
      <c r="AN5">
        <v>15</v>
      </c>
      <c r="AO5" t="s">
        <v>310</v>
      </c>
    </row>
    <row r="6" spans="1:41" x14ac:dyDescent="0.3">
      <c r="A6" t="s">
        <v>84</v>
      </c>
      <c r="B6" t="s">
        <v>87</v>
      </c>
      <c r="C6">
        <v>25</v>
      </c>
      <c r="D6">
        <v>23</v>
      </c>
      <c r="E6">
        <f>특성화고_경쟁률_현황__2[[#This Row],[모집인원]]+일반고_경쟁률_현황__4[[#This Row],[모집인원]]</f>
        <v>23</v>
      </c>
      <c r="F6">
        <f>특성화고_경쟁률_현황__2[[#This Row],[지원인원]]+일반고_경쟁률_현황__4[[#This Row],[지원인원]]</f>
        <v>15</v>
      </c>
      <c r="G6" s="55" t="str">
        <f>ROUND(AVERAGE(표26[[#This Row],[지원인원]]/표26[[#This Row],[모집인원]]),2)&amp;" : 1"</f>
        <v>0.65 : 1</v>
      </c>
      <c r="H6">
        <f>표26[[#This Row],[지원인원]]</f>
        <v>15</v>
      </c>
      <c r="I6">
        <f>표26[[#This Row],[지원인원]]</f>
        <v>15</v>
      </c>
      <c r="N6" t="s">
        <v>84</v>
      </c>
      <c r="O6" t="s">
        <v>88</v>
      </c>
      <c r="P6">
        <v>1</v>
      </c>
      <c r="Q6">
        <v>0</v>
      </c>
      <c r="R6" t="s">
        <v>56</v>
      </c>
      <c r="T6" t="s">
        <v>84</v>
      </c>
      <c r="U6" t="s">
        <v>88</v>
      </c>
      <c r="V6">
        <v>2</v>
      </c>
      <c r="W6">
        <v>0</v>
      </c>
      <c r="X6" t="s">
        <v>56</v>
      </c>
      <c r="Z6" t="s">
        <v>84</v>
      </c>
      <c r="AA6" t="s">
        <v>88</v>
      </c>
      <c r="AB6">
        <v>0</v>
      </c>
      <c r="AC6">
        <v>0</v>
      </c>
      <c r="AE6" t="s">
        <v>84</v>
      </c>
      <c r="AF6" t="s">
        <v>87</v>
      </c>
      <c r="AG6">
        <v>5</v>
      </c>
      <c r="AH6">
        <v>6</v>
      </c>
      <c r="AI6" t="s">
        <v>299</v>
      </c>
      <c r="AK6" t="s">
        <v>84</v>
      </c>
      <c r="AL6" t="s">
        <v>87</v>
      </c>
      <c r="AM6">
        <v>18</v>
      </c>
      <c r="AN6">
        <v>9</v>
      </c>
      <c r="AO6" t="s">
        <v>120</v>
      </c>
    </row>
    <row r="7" spans="1:41" x14ac:dyDescent="0.3">
      <c r="A7" t="s">
        <v>84</v>
      </c>
      <c r="B7" t="s">
        <v>88</v>
      </c>
      <c r="C7">
        <v>19</v>
      </c>
      <c r="D7">
        <v>20</v>
      </c>
      <c r="E7">
        <f>특성화고_경쟁률_현황__2[[#This Row],[모집인원]]+일반고_경쟁률_현황__4[[#This Row],[모집인원]]</f>
        <v>20</v>
      </c>
      <c r="F7">
        <f>특성화고_경쟁률_현황__2[[#This Row],[지원인원]]+일반고_경쟁률_현황__4[[#This Row],[지원인원]]</f>
        <v>9</v>
      </c>
      <c r="G7" s="55" t="str">
        <f>ROUND(AVERAGE(표26[[#This Row],[지원인원]]/표26[[#This Row],[모집인원]]),2)&amp;" : 1"</f>
        <v>0.45 : 1</v>
      </c>
      <c r="H7">
        <f>표26[[#This Row],[지원인원]]</f>
        <v>9</v>
      </c>
      <c r="I7">
        <f>표26[[#This Row],[지원인원]]</f>
        <v>9</v>
      </c>
      <c r="N7" t="s">
        <v>84</v>
      </c>
      <c r="O7" t="s">
        <v>89</v>
      </c>
      <c r="P7">
        <v>1</v>
      </c>
      <c r="Q7">
        <v>0</v>
      </c>
      <c r="R7" t="s">
        <v>56</v>
      </c>
      <c r="T7" t="s">
        <v>84</v>
      </c>
      <c r="U7" t="s">
        <v>89</v>
      </c>
      <c r="V7">
        <v>1</v>
      </c>
      <c r="W7">
        <v>3</v>
      </c>
      <c r="X7" t="s">
        <v>301</v>
      </c>
      <c r="Z7" t="s">
        <v>84</v>
      </c>
      <c r="AA7" t="s">
        <v>89</v>
      </c>
      <c r="AB7">
        <v>0</v>
      </c>
      <c r="AC7">
        <v>0</v>
      </c>
      <c r="AE7" t="s">
        <v>84</v>
      </c>
      <c r="AF7" t="s">
        <v>88</v>
      </c>
      <c r="AG7">
        <v>4</v>
      </c>
      <c r="AH7">
        <v>3</v>
      </c>
      <c r="AI7" t="s">
        <v>286</v>
      </c>
      <c r="AK7" t="s">
        <v>84</v>
      </c>
      <c r="AL7" t="s">
        <v>88</v>
      </c>
      <c r="AM7">
        <v>16</v>
      </c>
      <c r="AN7">
        <v>6</v>
      </c>
      <c r="AO7" t="s">
        <v>213</v>
      </c>
    </row>
    <row r="8" spans="1:41" x14ac:dyDescent="0.3">
      <c r="A8" t="s">
        <v>84</v>
      </c>
      <c r="B8" t="s">
        <v>89</v>
      </c>
      <c r="C8">
        <v>13</v>
      </c>
      <c r="D8">
        <v>15</v>
      </c>
      <c r="E8">
        <f>특성화고_경쟁률_현황__2[[#This Row],[모집인원]]+일반고_경쟁률_현황__4[[#This Row],[모집인원]]</f>
        <v>15</v>
      </c>
      <c r="F8">
        <f>특성화고_경쟁률_현황__2[[#This Row],[지원인원]]+일반고_경쟁률_현황__4[[#This Row],[지원인원]]</f>
        <v>14</v>
      </c>
      <c r="G8" s="55" t="str">
        <f>ROUND(AVERAGE(표26[[#This Row],[지원인원]]/표26[[#This Row],[모집인원]]),2)&amp;" : 1"</f>
        <v>0.93 : 1</v>
      </c>
      <c r="H8">
        <f>표26[[#This Row],[지원인원]]</f>
        <v>14</v>
      </c>
      <c r="I8">
        <f>표26[[#This Row],[지원인원]]</f>
        <v>14</v>
      </c>
      <c r="N8" t="s">
        <v>84</v>
      </c>
      <c r="O8" t="s">
        <v>90</v>
      </c>
      <c r="P8">
        <v>1</v>
      </c>
      <c r="Q8">
        <v>1</v>
      </c>
      <c r="R8" t="s">
        <v>138</v>
      </c>
      <c r="T8" t="s">
        <v>84</v>
      </c>
      <c r="U8" t="s">
        <v>90</v>
      </c>
      <c r="V8">
        <v>2</v>
      </c>
      <c r="W8">
        <v>1</v>
      </c>
      <c r="X8" t="s">
        <v>120</v>
      </c>
      <c r="Z8" t="s">
        <v>84</v>
      </c>
      <c r="AA8" t="s">
        <v>90</v>
      </c>
      <c r="AB8">
        <v>0</v>
      </c>
      <c r="AC8">
        <v>0</v>
      </c>
      <c r="AE8" t="s">
        <v>84</v>
      </c>
      <c r="AF8" t="s">
        <v>89</v>
      </c>
      <c r="AG8">
        <v>6</v>
      </c>
      <c r="AH8">
        <v>9</v>
      </c>
      <c r="AI8" t="s">
        <v>186</v>
      </c>
      <c r="AK8" t="s">
        <v>84</v>
      </c>
      <c r="AL8" t="s">
        <v>89</v>
      </c>
      <c r="AM8">
        <v>9</v>
      </c>
      <c r="AN8">
        <v>5</v>
      </c>
      <c r="AO8" t="s">
        <v>338</v>
      </c>
    </row>
    <row r="9" spans="1:41" x14ac:dyDescent="0.3">
      <c r="A9" t="s">
        <v>84</v>
      </c>
      <c r="B9" t="s">
        <v>90</v>
      </c>
      <c r="C9">
        <v>23</v>
      </c>
      <c r="D9">
        <v>23</v>
      </c>
      <c r="E9">
        <f>특성화고_경쟁률_현황__2[[#This Row],[모집인원]]+일반고_경쟁률_현황__4[[#This Row],[모집인원]]</f>
        <v>23</v>
      </c>
      <c r="F9">
        <f>특성화고_경쟁률_현황__2[[#This Row],[지원인원]]+일반고_경쟁률_현황__4[[#This Row],[지원인원]]</f>
        <v>27</v>
      </c>
      <c r="G9" s="55" t="str">
        <f>ROUND(AVERAGE(표26[[#This Row],[지원인원]]/표26[[#This Row],[모집인원]]),2)&amp;" : 1"</f>
        <v>1.17 : 1</v>
      </c>
      <c r="H9">
        <f>표26[[#This Row],[지원인원]]</f>
        <v>27</v>
      </c>
      <c r="I9">
        <f>표26[[#This Row],[지원인원]]</f>
        <v>27</v>
      </c>
      <c r="N9" t="s">
        <v>84</v>
      </c>
      <c r="O9" t="s">
        <v>91</v>
      </c>
      <c r="P9">
        <v>1</v>
      </c>
      <c r="Q9">
        <v>0</v>
      </c>
      <c r="R9" t="s">
        <v>56</v>
      </c>
      <c r="T9" t="s">
        <v>84</v>
      </c>
      <c r="U9" t="s">
        <v>91</v>
      </c>
      <c r="V9">
        <v>2</v>
      </c>
      <c r="W9">
        <v>8</v>
      </c>
      <c r="X9" t="s">
        <v>314</v>
      </c>
      <c r="Z9" t="s">
        <v>84</v>
      </c>
      <c r="AA9" t="s">
        <v>91</v>
      </c>
      <c r="AB9">
        <v>1</v>
      </c>
      <c r="AC9">
        <v>0</v>
      </c>
      <c r="AE9" t="s">
        <v>84</v>
      </c>
      <c r="AF9" t="s">
        <v>90</v>
      </c>
      <c r="AG9">
        <v>5</v>
      </c>
      <c r="AH9">
        <v>5</v>
      </c>
      <c r="AI9" t="s">
        <v>138</v>
      </c>
      <c r="AK9" t="s">
        <v>84</v>
      </c>
      <c r="AL9" t="s">
        <v>90</v>
      </c>
      <c r="AM9">
        <v>18</v>
      </c>
      <c r="AN9">
        <v>22</v>
      </c>
      <c r="AO9" t="s">
        <v>309</v>
      </c>
    </row>
    <row r="10" spans="1:41" x14ac:dyDescent="0.3">
      <c r="A10" t="s">
        <v>84</v>
      </c>
      <c r="B10" t="s">
        <v>91</v>
      </c>
      <c r="C10">
        <v>30</v>
      </c>
      <c r="D10">
        <v>30</v>
      </c>
      <c r="E10">
        <f>특성화고_경쟁률_현황__2[[#This Row],[모집인원]]+일반고_경쟁률_현황__4[[#This Row],[모집인원]]+C40</f>
        <v>30</v>
      </c>
      <c r="F10">
        <f>특성화고_경쟁률_현황__2[[#This Row],[지원인원]]+일반고_경쟁률_현황__4[[#This Row],[지원인원]]</f>
        <v>33</v>
      </c>
      <c r="G10" s="55" t="str">
        <f>ROUND(AVERAGE(표26[[#This Row],[지원인원]]/표26[[#This Row],[모집인원]]),2)&amp;" : 1"</f>
        <v>1.1 : 1</v>
      </c>
      <c r="H10">
        <f>표26[[#This Row],[지원인원]]</f>
        <v>33</v>
      </c>
      <c r="I10">
        <f>표26[[#This Row],[지원인원]]</f>
        <v>33</v>
      </c>
      <c r="N10" t="s">
        <v>84</v>
      </c>
      <c r="O10" t="s">
        <v>92</v>
      </c>
      <c r="P10">
        <v>1</v>
      </c>
      <c r="Q10">
        <v>3</v>
      </c>
      <c r="R10" t="s">
        <v>301</v>
      </c>
      <c r="T10" t="s">
        <v>84</v>
      </c>
      <c r="U10" t="s">
        <v>92</v>
      </c>
      <c r="V10">
        <v>2</v>
      </c>
      <c r="W10">
        <v>2</v>
      </c>
      <c r="X10" t="s">
        <v>138</v>
      </c>
      <c r="Z10" t="s">
        <v>84</v>
      </c>
      <c r="AA10" t="s">
        <v>92</v>
      </c>
      <c r="AB10">
        <v>0</v>
      </c>
      <c r="AC10">
        <v>0</v>
      </c>
      <c r="AE10" t="s">
        <v>84</v>
      </c>
      <c r="AF10" t="s">
        <v>91</v>
      </c>
      <c r="AG10">
        <v>8</v>
      </c>
      <c r="AH10">
        <v>13</v>
      </c>
      <c r="AI10" t="s">
        <v>360</v>
      </c>
      <c r="AK10" t="s">
        <v>84</v>
      </c>
      <c r="AL10" t="s">
        <v>91</v>
      </c>
      <c r="AM10">
        <v>18</v>
      </c>
      <c r="AN10">
        <v>20</v>
      </c>
      <c r="AO10" t="s">
        <v>305</v>
      </c>
    </row>
    <row r="11" spans="1:41" x14ac:dyDescent="0.3">
      <c r="A11" t="s">
        <v>84</v>
      </c>
      <c r="B11" t="s">
        <v>92</v>
      </c>
      <c r="C11">
        <v>25</v>
      </c>
      <c r="D11">
        <v>23</v>
      </c>
      <c r="E11">
        <f>특성화고_경쟁률_현황__2[[#This Row],[모집인원]]+일반고_경쟁률_현황__4[[#This Row],[모집인원]]</f>
        <v>23</v>
      </c>
      <c r="F11">
        <f>특성화고_경쟁률_현황__2[[#This Row],[지원인원]]+일반고_경쟁률_현황__4[[#This Row],[지원인원]]</f>
        <v>25</v>
      </c>
      <c r="G11" s="55" t="str">
        <f>ROUND(AVERAGE(표26[[#This Row],[지원인원]]/표26[[#This Row],[모집인원]]),2)&amp;" : 1"</f>
        <v>1.09 : 1</v>
      </c>
      <c r="H11">
        <f>표26[[#This Row],[지원인원]]</f>
        <v>25</v>
      </c>
      <c r="I11">
        <f>표26[[#This Row],[지원인원]]</f>
        <v>25</v>
      </c>
      <c r="N11" t="s">
        <v>84</v>
      </c>
      <c r="O11" t="s">
        <v>93</v>
      </c>
      <c r="P11">
        <v>1</v>
      </c>
      <c r="Q11">
        <v>2</v>
      </c>
      <c r="R11" t="s">
        <v>140</v>
      </c>
      <c r="T11" t="s">
        <v>84</v>
      </c>
      <c r="U11" t="s">
        <v>93</v>
      </c>
      <c r="V11">
        <v>2</v>
      </c>
      <c r="W11">
        <v>1</v>
      </c>
      <c r="X11" t="s">
        <v>120</v>
      </c>
      <c r="Z11" t="s">
        <v>84</v>
      </c>
      <c r="AA11" t="s">
        <v>93</v>
      </c>
      <c r="AB11">
        <v>2</v>
      </c>
      <c r="AC11">
        <v>0</v>
      </c>
      <c r="AE11" t="s">
        <v>84</v>
      </c>
      <c r="AF11" t="s">
        <v>92</v>
      </c>
      <c r="AG11">
        <v>8</v>
      </c>
      <c r="AH11">
        <v>10</v>
      </c>
      <c r="AI11" t="s">
        <v>185</v>
      </c>
      <c r="AK11" t="s">
        <v>84</v>
      </c>
      <c r="AL11" t="s">
        <v>92</v>
      </c>
      <c r="AM11">
        <v>15</v>
      </c>
      <c r="AN11">
        <v>15</v>
      </c>
      <c r="AO11" t="s">
        <v>138</v>
      </c>
    </row>
    <row r="12" spans="1:41" x14ac:dyDescent="0.3">
      <c r="A12" t="s">
        <v>84</v>
      </c>
      <c r="B12" t="s">
        <v>93</v>
      </c>
      <c r="C12">
        <v>25</v>
      </c>
      <c r="D12">
        <v>21</v>
      </c>
      <c r="E12">
        <f>특성화고_경쟁률_현황__2[[#This Row],[모집인원]]+일반고_경쟁률_현황__4[[#This Row],[모집인원]]</f>
        <v>21</v>
      </c>
      <c r="F12">
        <f>특성화고_경쟁률_현황__2[[#This Row],[지원인원]]+일반고_경쟁률_현황__4[[#This Row],[지원인원]]</f>
        <v>35</v>
      </c>
      <c r="G12" s="55" t="str">
        <f>ROUND(AVERAGE(표26[[#This Row],[지원인원]]/표26[[#This Row],[모집인원]]),2)&amp;" : 1"</f>
        <v>1.67 : 1</v>
      </c>
      <c r="H12">
        <f>표26[[#This Row],[지원인원]]</f>
        <v>35</v>
      </c>
      <c r="I12">
        <f>표26[[#This Row],[지원인원]]</f>
        <v>35</v>
      </c>
      <c r="N12" t="s">
        <v>84</v>
      </c>
      <c r="O12" t="s">
        <v>94</v>
      </c>
      <c r="P12">
        <v>1</v>
      </c>
      <c r="Q12">
        <v>0</v>
      </c>
      <c r="R12" t="s">
        <v>56</v>
      </c>
      <c r="T12" t="s">
        <v>84</v>
      </c>
      <c r="U12" t="s">
        <v>94</v>
      </c>
      <c r="V12">
        <v>2</v>
      </c>
      <c r="W12">
        <v>0</v>
      </c>
      <c r="X12" t="s">
        <v>56</v>
      </c>
      <c r="Z12" t="s">
        <v>84</v>
      </c>
      <c r="AA12" t="s">
        <v>94</v>
      </c>
      <c r="AB12">
        <v>0</v>
      </c>
      <c r="AC12">
        <v>0</v>
      </c>
      <c r="AE12" t="s">
        <v>84</v>
      </c>
      <c r="AF12" t="s">
        <v>93</v>
      </c>
      <c r="AG12">
        <v>5</v>
      </c>
      <c r="AH12">
        <v>16</v>
      </c>
      <c r="AI12" t="s">
        <v>361</v>
      </c>
      <c r="AK12" t="s">
        <v>84</v>
      </c>
      <c r="AL12" t="s">
        <v>93</v>
      </c>
      <c r="AM12">
        <v>16</v>
      </c>
      <c r="AN12">
        <v>19</v>
      </c>
      <c r="AO12" t="s">
        <v>354</v>
      </c>
    </row>
    <row r="13" spans="1:41" x14ac:dyDescent="0.3">
      <c r="A13" t="s">
        <v>84</v>
      </c>
      <c r="B13" t="s">
        <v>94</v>
      </c>
      <c r="C13">
        <v>25</v>
      </c>
      <c r="D13">
        <v>23</v>
      </c>
      <c r="E13">
        <f>특성화고_경쟁률_현황__2[[#This Row],[모집인원]]+일반고_경쟁률_현황__4[[#This Row],[모집인원]]</f>
        <v>23</v>
      </c>
      <c r="F13">
        <f>특성화고_경쟁률_현황__2[[#This Row],[지원인원]]+일반고_경쟁률_현황__4[[#This Row],[지원인원]]</f>
        <v>24</v>
      </c>
      <c r="G13" s="55" t="str">
        <f>ROUND(AVERAGE(표26[[#This Row],[지원인원]]/표26[[#This Row],[모집인원]]),2)&amp;" : 1"</f>
        <v>1.04 : 1</v>
      </c>
      <c r="H13">
        <f>표26[[#This Row],[지원인원]]</f>
        <v>24</v>
      </c>
      <c r="I13">
        <f>표26[[#This Row],[지원인원]]</f>
        <v>24</v>
      </c>
      <c r="N13" t="s">
        <v>84</v>
      </c>
      <c r="O13" t="s">
        <v>95</v>
      </c>
      <c r="P13">
        <v>1</v>
      </c>
      <c r="Q13">
        <v>1</v>
      </c>
      <c r="R13" t="s">
        <v>138</v>
      </c>
      <c r="T13" t="s">
        <v>84</v>
      </c>
      <c r="U13" t="s">
        <v>95</v>
      </c>
      <c r="V13">
        <v>2</v>
      </c>
      <c r="W13">
        <v>0</v>
      </c>
      <c r="X13" t="s">
        <v>56</v>
      </c>
      <c r="Z13" t="s">
        <v>84</v>
      </c>
      <c r="AA13" t="s">
        <v>95</v>
      </c>
      <c r="AB13">
        <v>0</v>
      </c>
      <c r="AC13">
        <v>0</v>
      </c>
      <c r="AE13" t="s">
        <v>84</v>
      </c>
      <c r="AF13" t="s">
        <v>94</v>
      </c>
      <c r="AG13">
        <v>5</v>
      </c>
      <c r="AH13">
        <v>11</v>
      </c>
      <c r="AI13" t="s">
        <v>311</v>
      </c>
      <c r="AK13" t="s">
        <v>84</v>
      </c>
      <c r="AL13" t="s">
        <v>94</v>
      </c>
      <c r="AM13">
        <v>18</v>
      </c>
      <c r="AN13">
        <v>13</v>
      </c>
      <c r="AO13" t="s">
        <v>355</v>
      </c>
    </row>
    <row r="14" spans="1:41" x14ac:dyDescent="0.3">
      <c r="A14" t="s">
        <v>84</v>
      </c>
      <c r="B14" t="s">
        <v>95</v>
      </c>
      <c r="C14">
        <v>30</v>
      </c>
      <c r="D14">
        <v>30</v>
      </c>
      <c r="E14">
        <f>특성화고_경쟁률_현황__2[[#This Row],[모집인원]]+일반고_경쟁률_현황__4[[#This Row],[모집인원]]</f>
        <v>30</v>
      </c>
      <c r="F14">
        <f>특성화고_경쟁률_현황__2[[#This Row],[지원인원]]+일반고_경쟁률_현황__4[[#This Row],[지원인원]]</f>
        <v>9</v>
      </c>
      <c r="G14" s="55" t="str">
        <f>ROUND(AVERAGE(표26[[#This Row],[지원인원]]/표26[[#This Row],[모집인원]]),2)&amp;" : 1"</f>
        <v>0.3 : 1</v>
      </c>
      <c r="H14">
        <f>표26[[#This Row],[지원인원]]</f>
        <v>9</v>
      </c>
      <c r="I14">
        <f>표26[[#This Row],[지원인원]]</f>
        <v>9</v>
      </c>
      <c r="N14" t="s">
        <v>84</v>
      </c>
      <c r="O14" t="s">
        <v>96</v>
      </c>
      <c r="P14">
        <v>1</v>
      </c>
      <c r="Q14">
        <v>0</v>
      </c>
      <c r="R14" t="s">
        <v>56</v>
      </c>
      <c r="T14" t="s">
        <v>84</v>
      </c>
      <c r="U14" t="s">
        <v>96</v>
      </c>
      <c r="V14">
        <v>2</v>
      </c>
      <c r="W14">
        <v>1</v>
      </c>
      <c r="X14" t="s">
        <v>120</v>
      </c>
      <c r="Z14" t="s">
        <v>84</v>
      </c>
      <c r="AA14" t="s">
        <v>96</v>
      </c>
      <c r="AB14">
        <v>0</v>
      </c>
      <c r="AC14">
        <v>0</v>
      </c>
      <c r="AE14" t="s">
        <v>84</v>
      </c>
      <c r="AF14" t="s">
        <v>95</v>
      </c>
      <c r="AG14">
        <v>6</v>
      </c>
      <c r="AH14">
        <v>5</v>
      </c>
      <c r="AI14" t="s">
        <v>310</v>
      </c>
      <c r="AK14" t="s">
        <v>84</v>
      </c>
      <c r="AL14" t="s">
        <v>95</v>
      </c>
      <c r="AM14">
        <v>24</v>
      </c>
      <c r="AN14">
        <v>4</v>
      </c>
      <c r="AO14" t="s">
        <v>129</v>
      </c>
    </row>
    <row r="15" spans="1:41" x14ac:dyDescent="0.3">
      <c r="A15" t="s">
        <v>84</v>
      </c>
      <c r="B15" t="s">
        <v>96</v>
      </c>
      <c r="C15">
        <v>25</v>
      </c>
      <c r="D15">
        <v>23</v>
      </c>
      <c r="E15">
        <f>특성화고_경쟁률_현황__2[[#This Row],[모집인원]]+일반고_경쟁률_현황__4[[#This Row],[모집인원]]</f>
        <v>23</v>
      </c>
      <c r="F15">
        <f>특성화고_경쟁률_현황__2[[#This Row],[지원인원]]+일반고_경쟁률_현황__4[[#This Row],[지원인원]]</f>
        <v>8</v>
      </c>
      <c r="G15" s="55" t="str">
        <f>ROUND(AVERAGE(표26[[#This Row],[지원인원]]/표26[[#This Row],[모집인원]]),2)&amp;" : 1"</f>
        <v>0.35 : 1</v>
      </c>
      <c r="H15">
        <f>표26[[#This Row],[지원인원]]</f>
        <v>8</v>
      </c>
      <c r="I15">
        <f>표26[[#This Row],[지원인원]]</f>
        <v>8</v>
      </c>
      <c r="N15" t="s">
        <v>84</v>
      </c>
      <c r="O15" t="s">
        <v>97</v>
      </c>
      <c r="P15">
        <v>1</v>
      </c>
      <c r="Q15">
        <v>0</v>
      </c>
      <c r="R15" t="s">
        <v>56</v>
      </c>
      <c r="T15" t="s">
        <v>84</v>
      </c>
      <c r="U15" t="s">
        <v>97</v>
      </c>
      <c r="V15">
        <v>2</v>
      </c>
      <c r="W15">
        <v>1</v>
      </c>
      <c r="X15" t="s">
        <v>120</v>
      </c>
      <c r="Z15" t="s">
        <v>84</v>
      </c>
      <c r="AA15" t="s">
        <v>97</v>
      </c>
      <c r="AB15">
        <v>0</v>
      </c>
      <c r="AC15">
        <v>0</v>
      </c>
      <c r="AE15" t="s">
        <v>84</v>
      </c>
      <c r="AF15" t="s">
        <v>96</v>
      </c>
      <c r="AG15">
        <v>4</v>
      </c>
      <c r="AH15">
        <v>1</v>
      </c>
      <c r="AI15" t="s">
        <v>128</v>
      </c>
      <c r="AK15" t="s">
        <v>84</v>
      </c>
      <c r="AL15" t="s">
        <v>96</v>
      </c>
      <c r="AM15">
        <v>19</v>
      </c>
      <c r="AN15">
        <v>7</v>
      </c>
      <c r="AO15" t="s">
        <v>356</v>
      </c>
    </row>
    <row r="16" spans="1:41" x14ac:dyDescent="0.3">
      <c r="A16" t="s">
        <v>84</v>
      </c>
      <c r="B16" t="s">
        <v>97</v>
      </c>
      <c r="C16">
        <v>25</v>
      </c>
      <c r="D16">
        <v>23</v>
      </c>
      <c r="E16">
        <f>특성화고_경쟁률_현황__2[[#This Row],[모집인원]]+일반고_경쟁률_현황__4[[#This Row],[모집인원]]</f>
        <v>23</v>
      </c>
      <c r="F16">
        <f>특성화고_경쟁률_현황__2[[#This Row],[지원인원]]+일반고_경쟁률_현황__4[[#This Row],[지원인원]]</f>
        <v>15</v>
      </c>
      <c r="G16" s="55" t="str">
        <f>ROUND(AVERAGE(표26[[#This Row],[지원인원]]/표26[[#This Row],[모집인원]]),2)&amp;" : 1"</f>
        <v>0.65 : 1</v>
      </c>
      <c r="H16">
        <f>표26[[#This Row],[지원인원]]</f>
        <v>15</v>
      </c>
      <c r="I16">
        <f>표26[[#This Row],[지원인원]]</f>
        <v>15</v>
      </c>
      <c r="N16" t="s">
        <v>84</v>
      </c>
      <c r="O16" t="s">
        <v>98</v>
      </c>
      <c r="P16">
        <v>1</v>
      </c>
      <c r="Q16">
        <v>0</v>
      </c>
      <c r="R16" t="s">
        <v>56</v>
      </c>
      <c r="T16" t="s">
        <v>84</v>
      </c>
      <c r="U16" t="s">
        <v>98</v>
      </c>
      <c r="V16">
        <v>2</v>
      </c>
      <c r="W16">
        <v>2</v>
      </c>
      <c r="X16" t="s">
        <v>138</v>
      </c>
      <c r="Z16" t="s">
        <v>84</v>
      </c>
      <c r="AA16" t="s">
        <v>98</v>
      </c>
      <c r="AB16">
        <v>0</v>
      </c>
      <c r="AC16">
        <v>0</v>
      </c>
      <c r="AE16" t="s">
        <v>84</v>
      </c>
      <c r="AF16" t="s">
        <v>97</v>
      </c>
      <c r="AG16">
        <v>5</v>
      </c>
      <c r="AH16">
        <v>5</v>
      </c>
      <c r="AI16" t="s">
        <v>138</v>
      </c>
      <c r="AK16" t="s">
        <v>84</v>
      </c>
      <c r="AL16" t="s">
        <v>97</v>
      </c>
      <c r="AM16">
        <v>18</v>
      </c>
      <c r="AN16">
        <v>10</v>
      </c>
      <c r="AO16" t="s">
        <v>338</v>
      </c>
    </row>
    <row r="17" spans="1:41" x14ac:dyDescent="0.3">
      <c r="A17" t="s">
        <v>84</v>
      </c>
      <c r="B17" t="s">
        <v>98</v>
      </c>
      <c r="C17">
        <v>13</v>
      </c>
      <c r="D17">
        <v>15</v>
      </c>
      <c r="E17">
        <f>특성화고_경쟁률_현황__2[[#This Row],[모집인원]]+일반고_경쟁률_현황__4[[#This Row],[모집인원]]</f>
        <v>15</v>
      </c>
      <c r="F17">
        <f>특성화고_경쟁률_현황__2[[#This Row],[지원인원]]+일반고_경쟁률_현황__4[[#This Row],[지원인원]]</f>
        <v>6</v>
      </c>
      <c r="G17" s="55" t="str">
        <f>ROUND(AVERAGE(표26[[#This Row],[지원인원]]/표26[[#This Row],[모집인원]]),2)&amp;" : 1"</f>
        <v>0.4 : 1</v>
      </c>
      <c r="H17">
        <f>표26[[#This Row],[지원인원]]</f>
        <v>6</v>
      </c>
      <c r="I17">
        <f>표26[[#This Row],[지원인원]]</f>
        <v>6</v>
      </c>
      <c r="N17" t="s">
        <v>84</v>
      </c>
      <c r="O17" t="s">
        <v>99</v>
      </c>
      <c r="P17">
        <v>1</v>
      </c>
      <c r="Q17">
        <v>0</v>
      </c>
      <c r="R17" t="s">
        <v>56</v>
      </c>
      <c r="T17" t="s">
        <v>84</v>
      </c>
      <c r="U17" t="s">
        <v>99</v>
      </c>
      <c r="V17">
        <v>2</v>
      </c>
      <c r="W17">
        <v>1</v>
      </c>
      <c r="X17" t="s">
        <v>120</v>
      </c>
      <c r="Z17" t="s">
        <v>84</v>
      </c>
      <c r="AA17" t="s">
        <v>99</v>
      </c>
      <c r="AB17">
        <v>0</v>
      </c>
      <c r="AC17">
        <v>0</v>
      </c>
      <c r="AE17" t="s">
        <v>84</v>
      </c>
      <c r="AF17" t="s">
        <v>98</v>
      </c>
      <c r="AG17">
        <v>3</v>
      </c>
      <c r="AH17">
        <v>2</v>
      </c>
      <c r="AI17" t="s">
        <v>139</v>
      </c>
      <c r="AK17" t="s">
        <v>84</v>
      </c>
      <c r="AL17" t="s">
        <v>98</v>
      </c>
      <c r="AM17">
        <v>12</v>
      </c>
      <c r="AN17">
        <v>4</v>
      </c>
      <c r="AO17" t="s">
        <v>137</v>
      </c>
    </row>
    <row r="18" spans="1:41" x14ac:dyDescent="0.3">
      <c r="A18" t="s">
        <v>84</v>
      </c>
      <c r="B18" t="s">
        <v>99</v>
      </c>
      <c r="C18">
        <v>24</v>
      </c>
      <c r="D18">
        <v>22</v>
      </c>
      <c r="E18">
        <f>특성화고_경쟁률_현황__2[[#This Row],[모집인원]]+일반고_경쟁률_현황__4[[#This Row],[모집인원]]</f>
        <v>22</v>
      </c>
      <c r="F18">
        <f>특성화고_경쟁률_현황__2[[#This Row],[지원인원]]+일반고_경쟁률_현황__4[[#This Row],[지원인원]]</f>
        <v>12</v>
      </c>
      <c r="G18" s="55" t="str">
        <f>ROUND(AVERAGE(표26[[#This Row],[지원인원]]/표26[[#This Row],[모집인원]]),2)&amp;" : 1"</f>
        <v>0.55 : 1</v>
      </c>
      <c r="H18">
        <f>표26[[#This Row],[지원인원]]</f>
        <v>12</v>
      </c>
      <c r="I18">
        <f>표26[[#This Row],[지원인원]]</f>
        <v>12</v>
      </c>
      <c r="N18" t="s">
        <v>84</v>
      </c>
      <c r="O18" t="s">
        <v>100</v>
      </c>
      <c r="P18">
        <v>1</v>
      </c>
      <c r="Q18">
        <v>1</v>
      </c>
      <c r="R18" t="s">
        <v>138</v>
      </c>
      <c r="T18" t="s">
        <v>84</v>
      </c>
      <c r="U18" t="s">
        <v>100</v>
      </c>
      <c r="V18">
        <v>2</v>
      </c>
      <c r="W18">
        <v>0</v>
      </c>
      <c r="X18" t="s">
        <v>56</v>
      </c>
      <c r="Z18" t="s">
        <v>84</v>
      </c>
      <c r="AA18" t="s">
        <v>100</v>
      </c>
      <c r="AB18">
        <v>0</v>
      </c>
      <c r="AC18">
        <v>0</v>
      </c>
      <c r="AE18" t="s">
        <v>84</v>
      </c>
      <c r="AF18" t="s">
        <v>99</v>
      </c>
      <c r="AG18">
        <v>4</v>
      </c>
      <c r="AH18">
        <v>3</v>
      </c>
      <c r="AI18" t="s">
        <v>286</v>
      </c>
      <c r="AK18" t="s">
        <v>84</v>
      </c>
      <c r="AL18" t="s">
        <v>99</v>
      </c>
      <c r="AM18">
        <v>18</v>
      </c>
      <c r="AN18">
        <v>9</v>
      </c>
      <c r="AO18" t="s">
        <v>120</v>
      </c>
    </row>
    <row r="19" spans="1:41" x14ac:dyDescent="0.3">
      <c r="A19" t="s">
        <v>84</v>
      </c>
      <c r="B19" t="s">
        <v>100</v>
      </c>
      <c r="C19">
        <v>18</v>
      </c>
      <c r="D19">
        <v>20</v>
      </c>
      <c r="E19">
        <f>특성화고_경쟁률_현황__2[[#This Row],[모집인원]]+일반고_경쟁률_현황__4[[#This Row],[모집인원]]</f>
        <v>20</v>
      </c>
      <c r="F19">
        <f>특성화고_경쟁률_현황__2[[#This Row],[지원인원]]+일반고_경쟁률_현황__4[[#This Row],[지원인원]]</f>
        <v>8</v>
      </c>
      <c r="G19" s="55" t="str">
        <f>ROUND(AVERAGE(표26[[#This Row],[지원인원]]/표26[[#This Row],[모집인원]]),2)&amp;" : 1"</f>
        <v>0.4 : 1</v>
      </c>
      <c r="H19">
        <f>표26[[#This Row],[지원인원]]</f>
        <v>8</v>
      </c>
      <c r="I19">
        <f>표26[[#This Row],[지원인원]]</f>
        <v>8</v>
      </c>
      <c r="N19" t="s">
        <v>84</v>
      </c>
      <c r="O19" t="s">
        <v>101</v>
      </c>
      <c r="P19">
        <v>1</v>
      </c>
      <c r="Q19">
        <v>1</v>
      </c>
      <c r="R19" t="s">
        <v>138</v>
      </c>
      <c r="T19" t="s">
        <v>84</v>
      </c>
      <c r="U19" t="s">
        <v>101</v>
      </c>
      <c r="V19">
        <v>2</v>
      </c>
      <c r="W19">
        <v>2</v>
      </c>
      <c r="X19" t="s">
        <v>138</v>
      </c>
      <c r="Z19" t="s">
        <v>84</v>
      </c>
      <c r="AA19" t="s">
        <v>101</v>
      </c>
      <c r="AB19">
        <v>1</v>
      </c>
      <c r="AC19">
        <v>0</v>
      </c>
      <c r="AE19" t="s">
        <v>84</v>
      </c>
      <c r="AF19" t="s">
        <v>100</v>
      </c>
      <c r="AG19">
        <v>4</v>
      </c>
      <c r="AH19">
        <v>3</v>
      </c>
      <c r="AI19" t="s">
        <v>286</v>
      </c>
      <c r="AK19" t="s">
        <v>84</v>
      </c>
      <c r="AL19" t="s">
        <v>100</v>
      </c>
      <c r="AM19">
        <v>16</v>
      </c>
      <c r="AN19">
        <v>5</v>
      </c>
      <c r="AO19" t="s">
        <v>357</v>
      </c>
    </row>
    <row r="20" spans="1:41" x14ac:dyDescent="0.3">
      <c r="A20" t="s">
        <v>84</v>
      </c>
      <c r="B20" t="s">
        <v>101</v>
      </c>
      <c r="C20">
        <v>25</v>
      </c>
      <c r="D20">
        <v>30</v>
      </c>
      <c r="E20">
        <f>특성화고_경쟁률_현황__2[[#This Row],[모집인원]]+일반고_경쟁률_현황__4[[#This Row],[모집인원]]</f>
        <v>30</v>
      </c>
      <c r="F20">
        <f>특성화고_경쟁률_현황__2[[#This Row],[지원인원]]+일반고_경쟁률_현황__4[[#This Row],[지원인원]]</f>
        <v>15</v>
      </c>
      <c r="G20" s="55" t="str">
        <f>ROUND(AVERAGE(표26[[#This Row],[지원인원]]/표26[[#This Row],[모집인원]]),2)&amp;" : 1"</f>
        <v>0.5 : 1</v>
      </c>
      <c r="H20">
        <f>표26[[#This Row],[지원인원]]</f>
        <v>15</v>
      </c>
      <c r="I20">
        <f>표26[[#This Row],[지원인원]]</f>
        <v>15</v>
      </c>
      <c r="N20" t="s">
        <v>84</v>
      </c>
      <c r="O20" t="s">
        <v>102</v>
      </c>
      <c r="P20">
        <v>1</v>
      </c>
      <c r="Q20">
        <v>0</v>
      </c>
      <c r="R20" t="s">
        <v>56</v>
      </c>
      <c r="T20" t="s">
        <v>84</v>
      </c>
      <c r="U20" t="s">
        <v>102</v>
      </c>
      <c r="V20">
        <v>2</v>
      </c>
      <c r="W20">
        <v>1</v>
      </c>
      <c r="X20" t="s">
        <v>120</v>
      </c>
      <c r="Z20" t="s">
        <v>84</v>
      </c>
      <c r="AA20" t="s">
        <v>102</v>
      </c>
      <c r="AB20">
        <v>0</v>
      </c>
      <c r="AC20">
        <v>0</v>
      </c>
      <c r="AE20" t="s">
        <v>84</v>
      </c>
      <c r="AF20" t="s">
        <v>101</v>
      </c>
      <c r="AG20">
        <v>6</v>
      </c>
      <c r="AH20">
        <v>6</v>
      </c>
      <c r="AI20" t="s">
        <v>138</v>
      </c>
      <c r="AK20" t="s">
        <v>84</v>
      </c>
      <c r="AL20" t="s">
        <v>101</v>
      </c>
      <c r="AM20">
        <v>24</v>
      </c>
      <c r="AN20">
        <v>9</v>
      </c>
      <c r="AO20" t="s">
        <v>213</v>
      </c>
    </row>
    <row r="21" spans="1:41" x14ac:dyDescent="0.3">
      <c r="A21" t="s">
        <v>84</v>
      </c>
      <c r="B21" t="s">
        <v>102</v>
      </c>
      <c r="C21">
        <v>25</v>
      </c>
      <c r="D21">
        <v>22</v>
      </c>
      <c r="E21">
        <f>특성화고_경쟁률_현황__2[[#This Row],[모집인원]]+일반고_경쟁률_현황__4[[#This Row],[모집인원]]</f>
        <v>22</v>
      </c>
      <c r="F21">
        <f>특성화고_경쟁률_현황__2[[#This Row],[지원인원]]+일반고_경쟁률_현황__4[[#This Row],[지원인원]]</f>
        <v>16</v>
      </c>
      <c r="G21" s="55" t="str">
        <f>ROUND(AVERAGE(표26[[#This Row],[지원인원]]/표26[[#This Row],[모집인원]]),2)&amp;" : 1"</f>
        <v>0.73 : 1</v>
      </c>
      <c r="H21">
        <f>표26[[#This Row],[지원인원]]</f>
        <v>16</v>
      </c>
      <c r="I21">
        <f>표26[[#This Row],[지원인원]]</f>
        <v>16</v>
      </c>
      <c r="N21" t="s">
        <v>84</v>
      </c>
      <c r="O21" t="s">
        <v>103</v>
      </c>
      <c r="P21">
        <v>1</v>
      </c>
      <c r="Q21">
        <v>0</v>
      </c>
      <c r="R21" t="s">
        <v>56</v>
      </c>
      <c r="T21" t="s">
        <v>84</v>
      </c>
      <c r="U21" t="s">
        <v>103</v>
      </c>
      <c r="V21">
        <v>2</v>
      </c>
      <c r="W21">
        <v>2</v>
      </c>
      <c r="X21" t="s">
        <v>138</v>
      </c>
      <c r="Z21" t="s">
        <v>84</v>
      </c>
      <c r="AA21" t="s">
        <v>103</v>
      </c>
      <c r="AB21">
        <v>0</v>
      </c>
      <c r="AC21">
        <v>0</v>
      </c>
      <c r="AE21" t="s">
        <v>84</v>
      </c>
      <c r="AF21" t="s">
        <v>102</v>
      </c>
      <c r="AG21">
        <v>4</v>
      </c>
      <c r="AH21">
        <v>3</v>
      </c>
      <c r="AI21" t="s">
        <v>286</v>
      </c>
      <c r="AK21" t="s">
        <v>84</v>
      </c>
      <c r="AL21" t="s">
        <v>102</v>
      </c>
      <c r="AM21">
        <v>18</v>
      </c>
      <c r="AN21">
        <v>13</v>
      </c>
      <c r="AO21" t="s">
        <v>355</v>
      </c>
    </row>
    <row r="22" spans="1:41" x14ac:dyDescent="0.3">
      <c r="A22" t="s">
        <v>84</v>
      </c>
      <c r="B22" t="s">
        <v>103</v>
      </c>
      <c r="C22">
        <v>23</v>
      </c>
      <c r="D22">
        <v>23</v>
      </c>
      <c r="E22">
        <f>특성화고_경쟁률_현황__2[[#This Row],[모집인원]]+일반고_경쟁률_현황__4[[#This Row],[모집인원]]</f>
        <v>23</v>
      </c>
      <c r="F22">
        <f>특성화고_경쟁률_현황__2[[#This Row],[지원인원]]+일반고_경쟁률_현황__4[[#This Row],[지원인원]]</f>
        <v>19</v>
      </c>
      <c r="G22" s="55" t="str">
        <f>ROUND(AVERAGE(표26[[#This Row],[지원인원]]/표26[[#This Row],[모집인원]]),2)&amp;" : 1"</f>
        <v>0.83 : 1</v>
      </c>
      <c r="H22">
        <f>표26[[#This Row],[지원인원]]</f>
        <v>19</v>
      </c>
      <c r="I22">
        <f>표26[[#This Row],[지원인원]]</f>
        <v>19</v>
      </c>
      <c r="N22" t="s">
        <v>84</v>
      </c>
      <c r="O22" t="s">
        <v>104</v>
      </c>
      <c r="P22">
        <v>1</v>
      </c>
      <c r="Q22">
        <v>0</v>
      </c>
      <c r="R22" t="s">
        <v>56</v>
      </c>
      <c r="T22" t="s">
        <v>84</v>
      </c>
      <c r="U22" t="s">
        <v>104</v>
      </c>
      <c r="V22">
        <v>2</v>
      </c>
      <c r="W22">
        <v>3</v>
      </c>
      <c r="X22" t="s">
        <v>186</v>
      </c>
      <c r="Z22" t="s">
        <v>84</v>
      </c>
      <c r="AA22" t="s">
        <v>104</v>
      </c>
      <c r="AB22">
        <v>0</v>
      </c>
      <c r="AC22">
        <v>0</v>
      </c>
      <c r="AE22" t="s">
        <v>84</v>
      </c>
      <c r="AF22" t="s">
        <v>103</v>
      </c>
      <c r="AG22">
        <v>5</v>
      </c>
      <c r="AH22">
        <v>6</v>
      </c>
      <c r="AI22" t="s">
        <v>299</v>
      </c>
      <c r="AK22" t="s">
        <v>84</v>
      </c>
      <c r="AL22" t="s">
        <v>103</v>
      </c>
      <c r="AM22">
        <v>18</v>
      </c>
      <c r="AN22">
        <v>13</v>
      </c>
      <c r="AO22" t="s">
        <v>355</v>
      </c>
    </row>
    <row r="23" spans="1:41" x14ac:dyDescent="0.3">
      <c r="A23" t="s">
        <v>84</v>
      </c>
      <c r="B23" t="s">
        <v>104</v>
      </c>
      <c r="C23">
        <v>23</v>
      </c>
      <c r="D23">
        <v>23</v>
      </c>
      <c r="E23">
        <f>특성화고_경쟁률_현황__2[[#This Row],[모집인원]]+일반고_경쟁률_현황__4[[#This Row],[모집인원]]</f>
        <v>23</v>
      </c>
      <c r="F23">
        <f>특성화고_경쟁률_현황__2[[#This Row],[지원인원]]+일반고_경쟁률_현황__4[[#This Row],[지원인원]]</f>
        <v>20</v>
      </c>
      <c r="G23" s="55" t="str">
        <f>ROUND(AVERAGE(표26[[#This Row],[지원인원]]/표26[[#This Row],[모집인원]]),2)&amp;" : 1"</f>
        <v>0.87 : 1</v>
      </c>
      <c r="H23">
        <f>표26[[#This Row],[지원인원]]</f>
        <v>20</v>
      </c>
      <c r="I23">
        <f>표26[[#This Row],[지원인원]]</f>
        <v>20</v>
      </c>
      <c r="N23" t="s">
        <v>105</v>
      </c>
      <c r="O23" t="s">
        <v>106</v>
      </c>
      <c r="P23">
        <v>1</v>
      </c>
      <c r="Q23">
        <v>0</v>
      </c>
      <c r="R23" t="s">
        <v>56</v>
      </c>
      <c r="T23" t="s">
        <v>105</v>
      </c>
      <c r="U23" t="s">
        <v>106</v>
      </c>
      <c r="V23">
        <v>2</v>
      </c>
      <c r="W23">
        <v>0</v>
      </c>
      <c r="X23" t="s">
        <v>56</v>
      </c>
      <c r="Z23" t="s">
        <v>105</v>
      </c>
      <c r="AA23" t="s">
        <v>106</v>
      </c>
      <c r="AB23">
        <v>0</v>
      </c>
      <c r="AC23">
        <v>0</v>
      </c>
      <c r="AE23" t="s">
        <v>84</v>
      </c>
      <c r="AF23" t="s">
        <v>104</v>
      </c>
      <c r="AG23">
        <v>5</v>
      </c>
      <c r="AH23">
        <v>9</v>
      </c>
      <c r="AI23" t="s">
        <v>313</v>
      </c>
      <c r="AK23" t="s">
        <v>84</v>
      </c>
      <c r="AL23" t="s">
        <v>104</v>
      </c>
      <c r="AM23">
        <v>18</v>
      </c>
      <c r="AN23">
        <v>11</v>
      </c>
      <c r="AO23" t="s">
        <v>308</v>
      </c>
    </row>
    <row r="24" spans="1:41" x14ac:dyDescent="0.3">
      <c r="A24" t="s">
        <v>105</v>
      </c>
      <c r="B24" t="s">
        <v>106</v>
      </c>
      <c r="C24">
        <v>18</v>
      </c>
      <c r="D24">
        <v>19</v>
      </c>
      <c r="E24">
        <f>특성화고_경쟁률_현황__2[[#This Row],[모집인원]]+일반고_경쟁률_현황__4[[#This Row],[모집인원]]</f>
        <v>19</v>
      </c>
      <c r="F24">
        <f>특성화고_경쟁률_현황__2[[#This Row],[지원인원]]+일반고_경쟁률_현황__4[[#This Row],[지원인원]]</f>
        <v>17</v>
      </c>
      <c r="G24" s="55" t="str">
        <f>ROUND(AVERAGE(표26[[#This Row],[지원인원]]/표26[[#This Row],[모집인원]]),2)&amp;" : 1"</f>
        <v>0.89 : 1</v>
      </c>
      <c r="H24">
        <f>표26[[#This Row],[지원인원]]</f>
        <v>17</v>
      </c>
      <c r="I24">
        <f>표26[[#This Row],[지원인원]]</f>
        <v>17</v>
      </c>
      <c r="N24" t="s">
        <v>105</v>
      </c>
      <c r="O24" t="s">
        <v>107</v>
      </c>
      <c r="P24">
        <v>1</v>
      </c>
      <c r="Q24">
        <v>0</v>
      </c>
      <c r="R24" t="s">
        <v>56</v>
      </c>
      <c r="T24" t="s">
        <v>105</v>
      </c>
      <c r="U24" t="s">
        <v>107</v>
      </c>
      <c r="V24">
        <v>2</v>
      </c>
      <c r="W24">
        <v>0</v>
      </c>
      <c r="X24" t="s">
        <v>56</v>
      </c>
      <c r="Z24" t="s">
        <v>105</v>
      </c>
      <c r="AA24" t="s">
        <v>107</v>
      </c>
      <c r="AB24">
        <v>0</v>
      </c>
      <c r="AC24">
        <v>0</v>
      </c>
      <c r="AE24" t="s">
        <v>105</v>
      </c>
      <c r="AF24" t="s">
        <v>106</v>
      </c>
      <c r="AG24">
        <v>4</v>
      </c>
      <c r="AH24">
        <v>5</v>
      </c>
      <c r="AI24" t="s">
        <v>185</v>
      </c>
      <c r="AK24" t="s">
        <v>105</v>
      </c>
      <c r="AL24" t="s">
        <v>106</v>
      </c>
      <c r="AM24">
        <v>15</v>
      </c>
      <c r="AN24">
        <v>12</v>
      </c>
      <c r="AO24" t="s">
        <v>187</v>
      </c>
    </row>
    <row r="25" spans="1:41" x14ac:dyDescent="0.3">
      <c r="A25" t="s">
        <v>105</v>
      </c>
      <c r="B25" t="s">
        <v>107</v>
      </c>
      <c r="C25">
        <v>18</v>
      </c>
      <c r="D25">
        <v>18</v>
      </c>
      <c r="E25">
        <f>특성화고_경쟁률_현황__2[[#This Row],[모집인원]]+일반고_경쟁률_현황__4[[#This Row],[모집인원]]</f>
        <v>18</v>
      </c>
      <c r="F25">
        <f>특성화고_경쟁률_현황__2[[#This Row],[지원인원]]+일반고_경쟁률_현황__4[[#This Row],[지원인원]]</f>
        <v>17</v>
      </c>
      <c r="G25" s="55" t="str">
        <f>ROUND(AVERAGE(표26[[#This Row],[지원인원]]/표26[[#This Row],[모집인원]]),2)&amp;" : 1"</f>
        <v>0.94 : 1</v>
      </c>
      <c r="H25">
        <f>표26[[#This Row],[지원인원]]</f>
        <v>17</v>
      </c>
      <c r="I25">
        <f>표26[[#This Row],[지원인원]]</f>
        <v>17</v>
      </c>
      <c r="N25" t="s">
        <v>108</v>
      </c>
      <c r="O25" t="s">
        <v>109</v>
      </c>
      <c r="P25">
        <v>3</v>
      </c>
      <c r="Q25">
        <v>8</v>
      </c>
      <c r="R25" t="s">
        <v>372</v>
      </c>
      <c r="T25" t="s">
        <v>108</v>
      </c>
      <c r="U25" t="s">
        <v>109</v>
      </c>
      <c r="V25">
        <v>3</v>
      </c>
      <c r="W25">
        <v>16</v>
      </c>
      <c r="X25" t="s">
        <v>330</v>
      </c>
      <c r="Z25" t="s">
        <v>108</v>
      </c>
      <c r="AA25" t="s">
        <v>109</v>
      </c>
      <c r="AB25">
        <v>4</v>
      </c>
      <c r="AC25">
        <v>0</v>
      </c>
      <c r="AE25" t="s">
        <v>105</v>
      </c>
      <c r="AF25" t="s">
        <v>107</v>
      </c>
      <c r="AG25">
        <v>4</v>
      </c>
      <c r="AH25">
        <v>3</v>
      </c>
      <c r="AI25" t="s">
        <v>286</v>
      </c>
      <c r="AK25" t="s">
        <v>105</v>
      </c>
      <c r="AL25" t="s">
        <v>107</v>
      </c>
      <c r="AM25">
        <v>14</v>
      </c>
      <c r="AN25">
        <v>14</v>
      </c>
      <c r="AO25" t="s">
        <v>138</v>
      </c>
    </row>
    <row r="26" spans="1:41" x14ac:dyDescent="0.3">
      <c r="A26" t="s">
        <v>108</v>
      </c>
      <c r="B26" t="s">
        <v>109</v>
      </c>
      <c r="C26">
        <v>40</v>
      </c>
      <c r="D26">
        <v>40</v>
      </c>
      <c r="E26">
        <f>특성화고_경쟁률_현황__2[[#This Row],[모집인원]]+일반고_경쟁률_현황__4[[#This Row],[모집인원]]+C41</f>
        <v>40</v>
      </c>
      <c r="F26">
        <f>특성화고_경쟁률_현황__2[[#This Row],[지원인원]]+일반고_경쟁률_현황__4[[#This Row],[지원인원]]</f>
        <v>275</v>
      </c>
      <c r="G26" s="55" t="str">
        <f>ROUND(AVERAGE(표26[[#This Row],[지원인원]]/표26[[#This Row],[모집인원]]),2)&amp;" : 1"</f>
        <v>6.88 : 1</v>
      </c>
      <c r="H26">
        <f>표26[[#This Row],[지원인원]]</f>
        <v>275</v>
      </c>
      <c r="I26">
        <f>표26[[#This Row],[지원인원]]</f>
        <v>275</v>
      </c>
      <c r="N26" t="s">
        <v>108</v>
      </c>
      <c r="O26" t="s">
        <v>110</v>
      </c>
      <c r="P26">
        <v>1</v>
      </c>
      <c r="Q26">
        <v>2</v>
      </c>
      <c r="R26" t="s">
        <v>140</v>
      </c>
      <c r="T26" t="s">
        <v>108</v>
      </c>
      <c r="U26" t="s">
        <v>110</v>
      </c>
      <c r="V26">
        <v>2</v>
      </c>
      <c r="W26">
        <v>2</v>
      </c>
      <c r="X26" t="s">
        <v>138</v>
      </c>
      <c r="Z26" t="s">
        <v>108</v>
      </c>
      <c r="AA26" t="s">
        <v>110</v>
      </c>
      <c r="AB26">
        <v>1</v>
      </c>
      <c r="AC26">
        <v>0</v>
      </c>
      <c r="AE26" t="s">
        <v>108</v>
      </c>
      <c r="AF26" t="s">
        <v>109</v>
      </c>
      <c r="AG26">
        <v>3</v>
      </c>
      <c r="AH26">
        <v>19</v>
      </c>
      <c r="AI26" t="s">
        <v>362</v>
      </c>
      <c r="AK26" t="s">
        <v>108</v>
      </c>
      <c r="AL26" t="s">
        <v>109</v>
      </c>
      <c r="AM26">
        <v>32</v>
      </c>
      <c r="AN26">
        <v>256</v>
      </c>
      <c r="AO26" t="s">
        <v>371</v>
      </c>
    </row>
    <row r="27" spans="1:41" x14ac:dyDescent="0.3">
      <c r="A27" t="s">
        <v>108</v>
      </c>
      <c r="B27" t="s">
        <v>110</v>
      </c>
      <c r="C27">
        <v>25</v>
      </c>
      <c r="D27">
        <v>23</v>
      </c>
      <c r="E27">
        <f>특성화고_경쟁률_현황__2[[#This Row],[모집인원]]+일반고_경쟁률_현황__4[[#This Row],[모집인원]]</f>
        <v>23</v>
      </c>
      <c r="F27">
        <f>특성화고_경쟁률_현황__2[[#This Row],[지원인원]]+일반고_경쟁률_현황__4[[#This Row],[지원인원]]</f>
        <v>35</v>
      </c>
      <c r="G27" s="55" t="str">
        <f>ROUND(AVERAGE(표26[[#This Row],[지원인원]]/표26[[#This Row],[모집인원]]),2)&amp;" : 1"</f>
        <v>1.52 : 1</v>
      </c>
      <c r="H27">
        <f>표26[[#This Row],[지원인원]]</f>
        <v>35</v>
      </c>
      <c r="I27">
        <f>표26[[#This Row],[지원인원]]</f>
        <v>35</v>
      </c>
      <c r="N27" t="s">
        <v>108</v>
      </c>
      <c r="O27" t="s">
        <v>111</v>
      </c>
      <c r="P27">
        <v>1</v>
      </c>
      <c r="Q27">
        <v>1</v>
      </c>
      <c r="R27" t="s">
        <v>138</v>
      </c>
      <c r="T27" t="s">
        <v>108</v>
      </c>
      <c r="U27" t="s">
        <v>111</v>
      </c>
      <c r="V27">
        <v>1</v>
      </c>
      <c r="W27">
        <v>3</v>
      </c>
      <c r="X27" t="s">
        <v>301</v>
      </c>
      <c r="Z27" t="s">
        <v>108</v>
      </c>
      <c r="AA27" t="s">
        <v>111</v>
      </c>
      <c r="AB27">
        <v>0</v>
      </c>
      <c r="AC27">
        <v>0</v>
      </c>
      <c r="AE27" t="s">
        <v>108</v>
      </c>
      <c r="AF27" t="s">
        <v>110</v>
      </c>
      <c r="AG27">
        <v>5</v>
      </c>
      <c r="AH27">
        <v>12</v>
      </c>
      <c r="AI27" t="s">
        <v>312</v>
      </c>
      <c r="AK27" t="s">
        <v>108</v>
      </c>
      <c r="AL27" t="s">
        <v>110</v>
      </c>
      <c r="AM27">
        <v>18</v>
      </c>
      <c r="AN27">
        <v>23</v>
      </c>
      <c r="AO27" t="s">
        <v>332</v>
      </c>
    </row>
    <row r="28" spans="1:41" x14ac:dyDescent="0.3">
      <c r="A28" t="s">
        <v>108</v>
      </c>
      <c r="B28" t="s">
        <v>111</v>
      </c>
      <c r="C28">
        <v>23</v>
      </c>
      <c r="D28">
        <v>22</v>
      </c>
      <c r="E28">
        <f>특성화고_경쟁률_현황__2[[#This Row],[모집인원]]+일반고_경쟁률_현황__4[[#This Row],[모집인원]]</f>
        <v>22</v>
      </c>
      <c r="F28">
        <f>특성화고_경쟁률_현황__2[[#This Row],[지원인원]]+일반고_경쟁률_현황__4[[#This Row],[지원인원]]</f>
        <v>38</v>
      </c>
      <c r="G28" s="55" t="str">
        <f>ROUND(AVERAGE(표26[[#This Row],[지원인원]]/표26[[#This Row],[모집인원]]),2)&amp;" : 1"</f>
        <v>1.73 : 1</v>
      </c>
      <c r="H28">
        <f>표26[[#This Row],[지원인원]]</f>
        <v>38</v>
      </c>
      <c r="I28">
        <f>표26[[#This Row],[지원인원]]</f>
        <v>38</v>
      </c>
      <c r="N28" t="s">
        <v>108</v>
      </c>
      <c r="O28" t="s">
        <v>112</v>
      </c>
      <c r="P28">
        <v>1</v>
      </c>
      <c r="Q28">
        <v>0</v>
      </c>
      <c r="R28" t="s">
        <v>56</v>
      </c>
      <c r="T28" t="s">
        <v>108</v>
      </c>
      <c r="U28" t="s">
        <v>112</v>
      </c>
      <c r="V28">
        <v>1</v>
      </c>
      <c r="W28">
        <v>3</v>
      </c>
      <c r="X28" t="s">
        <v>301</v>
      </c>
      <c r="Z28" t="s">
        <v>108</v>
      </c>
      <c r="AA28" t="s">
        <v>112</v>
      </c>
      <c r="AB28">
        <v>0</v>
      </c>
      <c r="AC28">
        <v>0</v>
      </c>
      <c r="AE28" t="s">
        <v>108</v>
      </c>
      <c r="AF28" t="s">
        <v>111</v>
      </c>
      <c r="AG28">
        <v>4</v>
      </c>
      <c r="AH28">
        <v>11</v>
      </c>
      <c r="AI28" t="s">
        <v>363</v>
      </c>
      <c r="AK28" t="s">
        <v>108</v>
      </c>
      <c r="AL28" t="s">
        <v>111</v>
      </c>
      <c r="AM28">
        <v>18</v>
      </c>
      <c r="AN28">
        <v>27</v>
      </c>
      <c r="AO28" t="s">
        <v>186</v>
      </c>
    </row>
    <row r="29" spans="1:41" x14ac:dyDescent="0.3">
      <c r="A29" t="s">
        <v>108</v>
      </c>
      <c r="B29" t="s">
        <v>112</v>
      </c>
      <c r="C29">
        <v>23</v>
      </c>
      <c r="D29">
        <v>22</v>
      </c>
      <c r="E29">
        <f>특성화고_경쟁률_현황__2[[#This Row],[모집인원]]+일반고_경쟁률_현황__4[[#This Row],[모집인원]]</f>
        <v>22</v>
      </c>
      <c r="F29">
        <f>특성화고_경쟁률_현황__2[[#This Row],[지원인원]]+일반고_경쟁률_현황__4[[#This Row],[지원인원]]</f>
        <v>18</v>
      </c>
      <c r="G29" s="55" t="str">
        <f>ROUND(AVERAGE(표26[[#This Row],[지원인원]]/표26[[#This Row],[모집인원]]),2)&amp;" : 1"</f>
        <v>0.82 : 1</v>
      </c>
      <c r="H29">
        <f>표26[[#This Row],[지원인원]]</f>
        <v>18</v>
      </c>
      <c r="I29">
        <f>표26[[#This Row],[지원인원]]</f>
        <v>18</v>
      </c>
      <c r="N29" t="s">
        <v>108</v>
      </c>
      <c r="O29" t="s">
        <v>113</v>
      </c>
      <c r="P29">
        <v>1</v>
      </c>
      <c r="Q29">
        <v>0</v>
      </c>
      <c r="R29" t="s">
        <v>56</v>
      </c>
      <c r="T29" t="s">
        <v>108</v>
      </c>
      <c r="U29" t="s">
        <v>113</v>
      </c>
      <c r="V29">
        <v>1</v>
      </c>
      <c r="W29">
        <v>2</v>
      </c>
      <c r="X29" t="s">
        <v>140</v>
      </c>
      <c r="Z29" t="s">
        <v>108</v>
      </c>
      <c r="AA29" t="s">
        <v>113</v>
      </c>
      <c r="AB29">
        <v>0</v>
      </c>
      <c r="AC29">
        <v>0</v>
      </c>
      <c r="AE29" t="s">
        <v>108</v>
      </c>
      <c r="AF29" t="s">
        <v>112</v>
      </c>
      <c r="AG29">
        <v>4</v>
      </c>
      <c r="AH29">
        <v>9</v>
      </c>
      <c r="AI29" t="s">
        <v>364</v>
      </c>
      <c r="AK29" t="s">
        <v>108</v>
      </c>
      <c r="AL29" t="s">
        <v>112</v>
      </c>
      <c r="AM29">
        <v>18</v>
      </c>
      <c r="AN29">
        <v>9</v>
      </c>
      <c r="AO29" t="s">
        <v>120</v>
      </c>
    </row>
    <row r="30" spans="1:41" x14ac:dyDescent="0.3">
      <c r="A30" t="s">
        <v>108</v>
      </c>
      <c r="B30" t="s">
        <v>113</v>
      </c>
      <c r="C30">
        <v>24</v>
      </c>
      <c r="D30">
        <v>22</v>
      </c>
      <c r="E30">
        <f>특성화고_경쟁률_현황__2[[#This Row],[모집인원]]+일반고_경쟁률_현황__4[[#This Row],[모집인원]]</f>
        <v>22</v>
      </c>
      <c r="F30">
        <f>특성화고_경쟁률_현황__2[[#This Row],[지원인원]]+일반고_경쟁률_현황__4[[#This Row],[지원인원]]</f>
        <v>21</v>
      </c>
      <c r="G30" s="55" t="str">
        <f>ROUND(AVERAGE(표26[[#This Row],[지원인원]]/표26[[#This Row],[모집인원]]),2)&amp;" : 1"</f>
        <v>0.95 : 1</v>
      </c>
      <c r="H30">
        <f>표26[[#This Row],[지원인원]]</f>
        <v>21</v>
      </c>
      <c r="I30">
        <f>표26[[#This Row],[지원인원]]</f>
        <v>21</v>
      </c>
      <c r="N30" t="s">
        <v>108</v>
      </c>
      <c r="O30" t="s">
        <v>114</v>
      </c>
      <c r="P30">
        <v>1</v>
      </c>
      <c r="Q30">
        <v>0</v>
      </c>
      <c r="R30" t="s">
        <v>56</v>
      </c>
      <c r="T30" t="s">
        <v>108</v>
      </c>
      <c r="U30" t="s">
        <v>114</v>
      </c>
      <c r="V30">
        <v>2</v>
      </c>
      <c r="W30">
        <v>2</v>
      </c>
      <c r="X30" t="s">
        <v>138</v>
      </c>
      <c r="Z30" t="s">
        <v>108</v>
      </c>
      <c r="AA30" t="s">
        <v>114</v>
      </c>
      <c r="AB30">
        <v>0</v>
      </c>
      <c r="AC30">
        <v>0</v>
      </c>
      <c r="AE30" t="s">
        <v>108</v>
      </c>
      <c r="AF30" t="s">
        <v>113</v>
      </c>
      <c r="AG30">
        <v>6</v>
      </c>
      <c r="AH30">
        <v>6</v>
      </c>
      <c r="AI30" t="s">
        <v>138</v>
      </c>
      <c r="AK30" t="s">
        <v>108</v>
      </c>
      <c r="AL30" t="s">
        <v>113</v>
      </c>
      <c r="AM30">
        <v>16</v>
      </c>
      <c r="AN30">
        <v>15</v>
      </c>
      <c r="AO30" t="s">
        <v>212</v>
      </c>
    </row>
    <row r="31" spans="1:41" x14ac:dyDescent="0.3">
      <c r="A31" t="s">
        <v>108</v>
      </c>
      <c r="B31" t="s">
        <v>114</v>
      </c>
      <c r="C31">
        <v>13</v>
      </c>
      <c r="D31">
        <v>15</v>
      </c>
      <c r="E31">
        <f>특성화고_경쟁률_현황__2[[#This Row],[모집인원]]+일반고_경쟁률_현황__4[[#This Row],[모집인원]]</f>
        <v>15</v>
      </c>
      <c r="F31">
        <f>특성화고_경쟁률_현황__2[[#This Row],[지원인원]]+일반고_경쟁률_현황__4[[#This Row],[지원인원]]</f>
        <v>9</v>
      </c>
      <c r="G31" s="55" t="str">
        <f>ROUND(AVERAGE(표26[[#This Row],[지원인원]]/표26[[#This Row],[모집인원]]),2)&amp;" : 1"</f>
        <v>0.6 : 1</v>
      </c>
      <c r="H31">
        <f>표26[[#This Row],[지원인원]]</f>
        <v>9</v>
      </c>
      <c r="I31">
        <f>표26[[#This Row],[지원인원]]</f>
        <v>9</v>
      </c>
      <c r="N31" t="s">
        <v>105</v>
      </c>
      <c r="O31" t="s">
        <v>115</v>
      </c>
      <c r="P31">
        <v>1</v>
      </c>
      <c r="Q31">
        <v>0</v>
      </c>
      <c r="R31" t="s">
        <v>56</v>
      </c>
      <c r="T31" t="s">
        <v>105</v>
      </c>
      <c r="U31" t="s">
        <v>115</v>
      </c>
      <c r="V31">
        <v>2</v>
      </c>
      <c r="W31">
        <v>3</v>
      </c>
      <c r="X31" t="s">
        <v>186</v>
      </c>
      <c r="Z31" t="s">
        <v>105</v>
      </c>
      <c r="AA31" t="s">
        <v>115</v>
      </c>
      <c r="AB31">
        <v>1</v>
      </c>
      <c r="AC31">
        <v>0</v>
      </c>
      <c r="AE31" t="s">
        <v>108</v>
      </c>
      <c r="AF31" t="s">
        <v>114</v>
      </c>
      <c r="AG31">
        <v>3</v>
      </c>
      <c r="AH31">
        <v>1</v>
      </c>
      <c r="AI31" t="s">
        <v>137</v>
      </c>
      <c r="AK31" t="s">
        <v>108</v>
      </c>
      <c r="AL31" t="s">
        <v>114</v>
      </c>
      <c r="AM31">
        <v>12</v>
      </c>
      <c r="AN31">
        <v>8</v>
      </c>
      <c r="AO31" t="s">
        <v>139</v>
      </c>
    </row>
    <row r="32" spans="1:41" x14ac:dyDescent="0.3">
      <c r="A32" t="s">
        <v>105</v>
      </c>
      <c r="B32" t="s">
        <v>115</v>
      </c>
      <c r="C32">
        <v>14</v>
      </c>
      <c r="D32">
        <v>15</v>
      </c>
      <c r="E32">
        <f>특성화고_경쟁률_현황__2[[#This Row],[모집인원]]+일반고_경쟁률_현황__4[[#This Row],[모집인원]]</f>
        <v>15</v>
      </c>
      <c r="F32">
        <f>특성화고_경쟁률_현황__2[[#This Row],[지원인원]]+일반고_경쟁률_현황__4[[#This Row],[지원인원]]</f>
        <v>23</v>
      </c>
      <c r="G32" s="55" t="str">
        <f>ROUND(AVERAGE(표26[[#This Row],[지원인원]]/표26[[#This Row],[모집인원]]),2)&amp;" : 1"</f>
        <v>1.53 : 1</v>
      </c>
      <c r="H32">
        <f>표26[[#This Row],[지원인원]]</f>
        <v>23</v>
      </c>
      <c r="I32">
        <f>표26[[#This Row],[지원인원]]</f>
        <v>23</v>
      </c>
      <c r="N32" t="s">
        <v>116</v>
      </c>
      <c r="O32" t="s">
        <v>116</v>
      </c>
      <c r="P32">
        <v>30</v>
      </c>
      <c r="Q32">
        <v>22</v>
      </c>
      <c r="R32" t="s">
        <v>333</v>
      </c>
      <c r="T32" t="s">
        <v>116</v>
      </c>
      <c r="U32" t="s">
        <v>116</v>
      </c>
      <c r="V32">
        <v>53</v>
      </c>
      <c r="W32">
        <v>61</v>
      </c>
      <c r="X32" t="s">
        <v>331</v>
      </c>
      <c r="Z32" t="s">
        <v>126</v>
      </c>
      <c r="AA32" t="s">
        <v>126</v>
      </c>
      <c r="AB32">
        <v>11</v>
      </c>
      <c r="AC32">
        <v>0</v>
      </c>
      <c r="AE32" t="s">
        <v>105</v>
      </c>
      <c r="AF32" t="s">
        <v>115</v>
      </c>
      <c r="AG32">
        <v>3</v>
      </c>
      <c r="AH32">
        <v>4</v>
      </c>
      <c r="AI32" t="s">
        <v>183</v>
      </c>
      <c r="AK32" t="s">
        <v>105</v>
      </c>
      <c r="AL32" t="s">
        <v>115</v>
      </c>
      <c r="AM32">
        <v>12</v>
      </c>
      <c r="AN32">
        <v>19</v>
      </c>
      <c r="AO32" t="s">
        <v>358</v>
      </c>
    </row>
    <row r="33" spans="1:41" x14ac:dyDescent="0.3">
      <c r="A33" t="s">
        <v>116</v>
      </c>
      <c r="B33" t="s">
        <v>116</v>
      </c>
      <c r="C33" s="53">
        <f>SUM(C4:C32)</f>
        <v>639</v>
      </c>
      <c r="D33" s="53">
        <f>SUM(D4:D32)</f>
        <v>644</v>
      </c>
      <c r="E33" s="53">
        <f>SUM(E4:E32)</f>
        <v>644</v>
      </c>
      <c r="F33" s="170">
        <f>SUM(F4:F32)</f>
        <v>800</v>
      </c>
      <c r="G33" s="169" t="str">
        <f>ROUND(AVERAGE(표26[[#This Row],[지원인원]]/표26[[#This Row],[모집인원]]),2)&amp;" : 1"</f>
        <v>1.24 : 1</v>
      </c>
      <c r="H33" s="170">
        <f>표26[[#This Row],[지원인원]]</f>
        <v>800</v>
      </c>
      <c r="I33" s="171">
        <f>표26[[#This Row],[지원인원]]</f>
        <v>800</v>
      </c>
      <c r="AE33" t="s">
        <v>116</v>
      </c>
      <c r="AF33" t="s">
        <v>116</v>
      </c>
      <c r="AG33">
        <v>137</v>
      </c>
      <c r="AH33">
        <v>199</v>
      </c>
      <c r="AI33" t="s">
        <v>339</v>
      </c>
      <c r="AK33" t="s">
        <v>116</v>
      </c>
      <c r="AL33" t="s">
        <v>116</v>
      </c>
      <c r="AM33">
        <v>498</v>
      </c>
      <c r="AN33">
        <v>601</v>
      </c>
      <c r="AO33" t="s">
        <v>370</v>
      </c>
    </row>
    <row r="38" spans="1:41" x14ac:dyDescent="0.3">
      <c r="A38" t="s">
        <v>132</v>
      </c>
      <c r="G38" s="52"/>
      <c r="H38" s="50"/>
      <c r="I38" s="50"/>
      <c r="J38" s="51"/>
      <c r="K38" s="52"/>
      <c r="L38" s="52"/>
      <c r="M38" s="52"/>
      <c r="N38" s="50"/>
      <c r="O38" s="50"/>
      <c r="P38" s="51"/>
      <c r="Q38" s="52"/>
      <c r="R38" s="52"/>
      <c r="S38" s="52"/>
    </row>
    <row r="39" spans="1:41" x14ac:dyDescent="0.3">
      <c r="A39" t="s">
        <v>82</v>
      </c>
      <c r="B39" t="s">
        <v>83</v>
      </c>
      <c r="C39" t="s">
        <v>53</v>
      </c>
      <c r="D39" t="s">
        <v>55</v>
      </c>
      <c r="E39" t="s">
        <v>54</v>
      </c>
      <c r="L39" s="52"/>
      <c r="M39" s="52"/>
      <c r="N39" s="50"/>
      <c r="O39" s="50"/>
      <c r="P39" s="51"/>
      <c r="Q39" s="52"/>
      <c r="R39" s="52"/>
      <c r="S39" s="52"/>
    </row>
    <row r="40" spans="1:41" x14ac:dyDescent="0.3">
      <c r="A40" t="s">
        <v>84</v>
      </c>
      <c r="B40" t="s">
        <v>91</v>
      </c>
      <c r="C40">
        <v>4</v>
      </c>
      <c r="D40">
        <v>3</v>
      </c>
      <c r="E40" t="s">
        <v>286</v>
      </c>
      <c r="L40" s="52"/>
      <c r="M40" s="52"/>
      <c r="N40" s="50"/>
      <c r="O40" s="50"/>
      <c r="P40" s="51"/>
      <c r="Q40" s="52"/>
      <c r="R40" s="52"/>
      <c r="S40" s="52"/>
    </row>
    <row r="41" spans="1:41" x14ac:dyDescent="0.3">
      <c r="A41" t="s">
        <v>108</v>
      </c>
      <c r="B41" t="s">
        <v>109</v>
      </c>
      <c r="C41">
        <v>5</v>
      </c>
      <c r="D41">
        <v>19</v>
      </c>
      <c r="E41" t="s">
        <v>359</v>
      </c>
      <c r="L41" s="52"/>
      <c r="M41" s="52"/>
      <c r="N41" s="50"/>
      <c r="O41" s="50"/>
      <c r="P41" s="51"/>
      <c r="Q41" s="52"/>
      <c r="R41" s="52"/>
      <c r="S41" s="52"/>
      <c r="AE41">
        <f>AM33+AG33+V32+P32+C42</f>
        <v>727</v>
      </c>
    </row>
    <row r="42" spans="1:41" x14ac:dyDescent="0.3">
      <c r="A42" t="s">
        <v>116</v>
      </c>
      <c r="B42" t="s">
        <v>116</v>
      </c>
      <c r="C42">
        <v>9</v>
      </c>
      <c r="D42">
        <v>22</v>
      </c>
      <c r="E42" t="s">
        <v>353</v>
      </c>
      <c r="L42" s="52"/>
      <c r="M42" s="52"/>
      <c r="N42" s="50"/>
      <c r="O42" s="50"/>
      <c r="P42" s="51"/>
      <c r="Q42" s="52"/>
      <c r="R42" s="52"/>
      <c r="S42" s="52"/>
    </row>
    <row r="43" spans="1:41" ht="17.25" thickBot="1" x14ac:dyDescent="0.35">
      <c r="L43" s="52"/>
      <c r="M43" s="52"/>
      <c r="N43" s="50"/>
      <c r="O43" s="50"/>
      <c r="P43" s="51"/>
      <c r="Q43" s="52"/>
      <c r="R43" s="52"/>
      <c r="S43" s="52"/>
    </row>
    <row r="44" spans="1:41" x14ac:dyDescent="0.3">
      <c r="A44" s="199" t="s">
        <v>321</v>
      </c>
      <c r="B44" s="200"/>
      <c r="C44" s="206" t="s">
        <v>320</v>
      </c>
      <c r="D44" s="207"/>
      <c r="E44" s="207"/>
      <c r="F44" s="208"/>
      <c r="G44" s="206" t="s">
        <v>217</v>
      </c>
      <c r="H44" s="207"/>
      <c r="I44" s="207"/>
      <c r="J44" s="207"/>
      <c r="K44" s="207"/>
      <c r="L44" s="207"/>
      <c r="M44" s="203"/>
      <c r="N44" s="50"/>
      <c r="O44" s="50"/>
      <c r="P44" s="50"/>
      <c r="Q44" s="52"/>
      <c r="R44" s="52"/>
      <c r="S44" s="52"/>
    </row>
    <row r="45" spans="1:41" ht="17.25" thickBot="1" x14ac:dyDescent="0.35">
      <c r="A45" s="201"/>
      <c r="B45" s="202"/>
      <c r="C45" s="209" t="s">
        <v>315</v>
      </c>
      <c r="D45" s="210"/>
      <c r="E45" s="210" t="s">
        <v>316</v>
      </c>
      <c r="F45" s="211"/>
      <c r="G45" s="212" t="s">
        <v>218</v>
      </c>
      <c r="H45" s="213"/>
      <c r="I45" s="210" t="s">
        <v>219</v>
      </c>
      <c r="J45" s="210"/>
      <c r="K45" s="135" t="s">
        <v>220</v>
      </c>
      <c r="L45" s="135" t="s">
        <v>221</v>
      </c>
      <c r="M45" s="204"/>
      <c r="N45" s="50"/>
    </row>
    <row r="46" spans="1:41" x14ac:dyDescent="0.3">
      <c r="A46" s="129" t="s">
        <v>82</v>
      </c>
      <c r="B46" s="157" t="s">
        <v>216</v>
      </c>
      <c r="C46" s="141" t="s">
        <v>53</v>
      </c>
      <c r="D46" s="131" t="s">
        <v>55</v>
      </c>
      <c r="E46" s="139" t="s">
        <v>222</v>
      </c>
      <c r="F46" s="134" t="s">
        <v>223</v>
      </c>
      <c r="G46" s="141" t="s">
        <v>317</v>
      </c>
      <c r="H46" s="132" t="s">
        <v>318</v>
      </c>
      <c r="I46" s="141" t="s">
        <v>222</v>
      </c>
      <c r="J46" s="130" t="s">
        <v>223</v>
      </c>
      <c r="K46" s="130" t="s">
        <v>224</v>
      </c>
      <c r="L46" s="130" t="s">
        <v>225</v>
      </c>
      <c r="M46" s="129" t="s">
        <v>319</v>
      </c>
      <c r="N46" s="50"/>
      <c r="O46" s="50"/>
      <c r="P46" s="51"/>
      <c r="Q46" s="52"/>
      <c r="R46" s="52"/>
      <c r="S46" s="52"/>
    </row>
    <row r="47" spans="1:41" x14ac:dyDescent="0.3">
      <c r="A47" s="16" t="s">
        <v>84</v>
      </c>
      <c r="B47" s="158" t="s">
        <v>85</v>
      </c>
      <c r="C47" s="155">
        <f>AM4</f>
        <v>12</v>
      </c>
      <c r="D47" s="162">
        <f t="shared" ref="D47:D75" si="0">AN4</f>
        <v>9</v>
      </c>
      <c r="E47" s="140">
        <f t="shared" ref="E47:E76" si="1">AG4</f>
        <v>4</v>
      </c>
      <c r="F47" s="164">
        <f t="shared" ref="F47:F75" si="2">AH4</f>
        <v>4</v>
      </c>
      <c r="G47" s="142"/>
      <c r="H47" s="136"/>
      <c r="I47" s="144"/>
      <c r="J47" s="137"/>
      <c r="K47" s="137"/>
      <c r="L47" s="137"/>
      <c r="M47" s="138">
        <f>표2[[#This Row],[지원인원]]+표2[[#This Row],[지원인원3]]</f>
        <v>13</v>
      </c>
      <c r="N47" s="50"/>
      <c r="O47" s="50"/>
      <c r="P47" s="51"/>
      <c r="Q47" s="52"/>
      <c r="R47" s="52"/>
      <c r="S47" s="52"/>
    </row>
    <row r="48" spans="1:41" x14ac:dyDescent="0.3">
      <c r="A48" s="133" t="s">
        <v>84</v>
      </c>
      <c r="B48" s="159" t="s">
        <v>86</v>
      </c>
      <c r="C48" s="155">
        <f t="shared" ref="C48:C75" si="3">AM5</f>
        <v>18</v>
      </c>
      <c r="D48" s="162">
        <f t="shared" si="0"/>
        <v>15</v>
      </c>
      <c r="E48" s="140">
        <f t="shared" si="1"/>
        <v>5</v>
      </c>
      <c r="F48" s="164">
        <f t="shared" si="2"/>
        <v>9</v>
      </c>
      <c r="G48" s="143">
        <f t="shared" ref="G48:G75" si="4">P4</f>
        <v>1</v>
      </c>
      <c r="H48" s="136">
        <f t="shared" ref="H48:H75" si="5">Q4</f>
        <v>2</v>
      </c>
      <c r="I48" s="140">
        <f t="shared" ref="I48:I75" si="6">V4</f>
        <v>2</v>
      </c>
      <c r="J48" s="167">
        <f t="shared" ref="J48:J75" si="7">W4</f>
        <v>2</v>
      </c>
      <c r="K48" s="167">
        <f t="shared" ref="K48:K75" si="8">AB4</f>
        <v>0</v>
      </c>
      <c r="L48" s="167">
        <f t="shared" ref="L48:L75" si="9">AC4</f>
        <v>0</v>
      </c>
      <c r="M48" s="138">
        <f>표2[[#This Row],[지원인원]]+표2[[#This Row],[지원인원3]]+표2[[#This Row],[지원인원33]]+J48+K48+L48</f>
        <v>28</v>
      </c>
      <c r="N48" s="50"/>
      <c r="O48" s="50"/>
      <c r="P48" s="51"/>
      <c r="Q48" s="52"/>
      <c r="R48" s="52"/>
      <c r="S48" s="52"/>
    </row>
    <row r="49" spans="1:19" x14ac:dyDescent="0.3">
      <c r="A49" s="133" t="s">
        <v>84</v>
      </c>
      <c r="B49" s="159" t="s">
        <v>87</v>
      </c>
      <c r="C49" s="155">
        <f t="shared" si="3"/>
        <v>18</v>
      </c>
      <c r="D49" s="162">
        <f t="shared" si="0"/>
        <v>9</v>
      </c>
      <c r="E49" s="140">
        <f t="shared" si="1"/>
        <v>5</v>
      </c>
      <c r="F49" s="164">
        <f t="shared" si="2"/>
        <v>6</v>
      </c>
      <c r="G49" s="143">
        <f t="shared" si="4"/>
        <v>1</v>
      </c>
      <c r="H49" s="136">
        <f t="shared" si="5"/>
        <v>0</v>
      </c>
      <c r="I49" s="140">
        <f t="shared" si="6"/>
        <v>2</v>
      </c>
      <c r="J49" s="167">
        <f t="shared" si="7"/>
        <v>0</v>
      </c>
      <c r="K49" s="167">
        <f t="shared" si="8"/>
        <v>1</v>
      </c>
      <c r="L49" s="167">
        <f t="shared" si="9"/>
        <v>0</v>
      </c>
      <c r="M49" s="138">
        <f>표2[[#This Row],[지원인원]]+표2[[#This Row],[지원인원3]]+표2[[#This Row],[지원인원33]]+J49+K49+L49</f>
        <v>16</v>
      </c>
      <c r="N49" s="50"/>
      <c r="O49" s="50"/>
      <c r="P49" s="51"/>
      <c r="Q49" s="52"/>
      <c r="R49" s="52"/>
      <c r="S49" s="52"/>
    </row>
    <row r="50" spans="1:19" x14ac:dyDescent="0.3">
      <c r="A50" s="133" t="s">
        <v>84</v>
      </c>
      <c r="B50" s="159" t="s">
        <v>88</v>
      </c>
      <c r="C50" s="155">
        <f t="shared" si="3"/>
        <v>16</v>
      </c>
      <c r="D50" s="162">
        <f t="shared" si="0"/>
        <v>6</v>
      </c>
      <c r="E50" s="140">
        <f t="shared" si="1"/>
        <v>4</v>
      </c>
      <c r="F50" s="164">
        <f t="shared" si="2"/>
        <v>3</v>
      </c>
      <c r="G50" s="143">
        <f t="shared" si="4"/>
        <v>1</v>
      </c>
      <c r="H50" s="136">
        <f t="shared" si="5"/>
        <v>0</v>
      </c>
      <c r="I50" s="140">
        <f t="shared" si="6"/>
        <v>2</v>
      </c>
      <c r="J50" s="167">
        <f t="shared" si="7"/>
        <v>0</v>
      </c>
      <c r="K50" s="167">
        <f t="shared" si="8"/>
        <v>0</v>
      </c>
      <c r="L50" s="167">
        <f t="shared" si="9"/>
        <v>0</v>
      </c>
      <c r="M50" s="138">
        <f>표2[[#This Row],[지원인원]]+표2[[#This Row],[지원인원3]]+표2[[#This Row],[지원인원33]]+J50+K50+L50</f>
        <v>9</v>
      </c>
      <c r="N50" s="50"/>
      <c r="O50" s="50"/>
      <c r="P50" s="51"/>
      <c r="Q50" s="52"/>
      <c r="R50" s="52"/>
      <c r="S50" s="52"/>
    </row>
    <row r="51" spans="1:19" x14ac:dyDescent="0.3">
      <c r="A51" s="133" t="s">
        <v>84</v>
      </c>
      <c r="B51" s="159" t="s">
        <v>89</v>
      </c>
      <c r="C51" s="155">
        <f t="shared" si="3"/>
        <v>9</v>
      </c>
      <c r="D51" s="162">
        <f t="shared" si="0"/>
        <v>5</v>
      </c>
      <c r="E51" s="140">
        <f t="shared" si="1"/>
        <v>6</v>
      </c>
      <c r="F51" s="164">
        <f t="shared" si="2"/>
        <v>9</v>
      </c>
      <c r="G51" s="143">
        <f t="shared" si="4"/>
        <v>1</v>
      </c>
      <c r="H51" s="136">
        <f t="shared" si="5"/>
        <v>0</v>
      </c>
      <c r="I51" s="140">
        <f t="shared" si="6"/>
        <v>1</v>
      </c>
      <c r="J51" s="167">
        <f t="shared" si="7"/>
        <v>3</v>
      </c>
      <c r="K51" s="167">
        <f t="shared" si="8"/>
        <v>0</v>
      </c>
      <c r="L51" s="167">
        <f t="shared" si="9"/>
        <v>0</v>
      </c>
      <c r="M51" s="138">
        <f>표2[[#This Row],[지원인원]]+표2[[#This Row],[지원인원3]]+표2[[#This Row],[지원인원33]]+J51+K51+L51</f>
        <v>17</v>
      </c>
      <c r="N51" s="50"/>
      <c r="O51" s="50"/>
      <c r="P51" s="51"/>
      <c r="Q51" s="52"/>
      <c r="R51" s="52"/>
      <c r="S51" s="52"/>
    </row>
    <row r="52" spans="1:19" x14ac:dyDescent="0.3">
      <c r="A52" s="133" t="s">
        <v>84</v>
      </c>
      <c r="B52" s="159" t="s">
        <v>90</v>
      </c>
      <c r="C52" s="155">
        <f t="shared" si="3"/>
        <v>18</v>
      </c>
      <c r="D52" s="162">
        <f t="shared" si="0"/>
        <v>22</v>
      </c>
      <c r="E52" s="140">
        <f t="shared" si="1"/>
        <v>5</v>
      </c>
      <c r="F52" s="164">
        <f t="shared" si="2"/>
        <v>5</v>
      </c>
      <c r="G52" s="143">
        <f t="shared" si="4"/>
        <v>1</v>
      </c>
      <c r="H52" s="136">
        <f t="shared" si="5"/>
        <v>1</v>
      </c>
      <c r="I52" s="140">
        <f t="shared" si="6"/>
        <v>2</v>
      </c>
      <c r="J52" s="167">
        <f t="shared" si="7"/>
        <v>1</v>
      </c>
      <c r="K52" s="167">
        <f t="shared" si="8"/>
        <v>0</v>
      </c>
      <c r="L52" s="167">
        <f t="shared" si="9"/>
        <v>0</v>
      </c>
      <c r="M52" s="138">
        <f>표2[[#This Row],[지원인원]]+표2[[#This Row],[지원인원3]]+표2[[#This Row],[지원인원33]]+J52+K52+L52</f>
        <v>29</v>
      </c>
      <c r="N52" s="50"/>
      <c r="O52" s="50"/>
      <c r="P52" s="51"/>
      <c r="Q52" s="52"/>
      <c r="R52" s="52"/>
      <c r="S52" s="52"/>
    </row>
    <row r="53" spans="1:19" x14ac:dyDescent="0.3">
      <c r="A53" s="133" t="s">
        <v>84</v>
      </c>
      <c r="B53" s="159" t="s">
        <v>91</v>
      </c>
      <c r="C53" s="155">
        <f>AM10+C40</f>
        <v>22</v>
      </c>
      <c r="D53" s="162">
        <f>AN10+D40</f>
        <v>23</v>
      </c>
      <c r="E53" s="140">
        <f t="shared" si="1"/>
        <v>8</v>
      </c>
      <c r="F53" s="164">
        <f t="shared" si="2"/>
        <v>13</v>
      </c>
      <c r="G53" s="143">
        <f t="shared" si="4"/>
        <v>1</v>
      </c>
      <c r="H53" s="136">
        <f t="shared" si="5"/>
        <v>0</v>
      </c>
      <c r="I53" s="140">
        <f t="shared" si="6"/>
        <v>2</v>
      </c>
      <c r="J53" s="167">
        <f t="shared" si="7"/>
        <v>8</v>
      </c>
      <c r="K53" s="167">
        <f t="shared" si="8"/>
        <v>1</v>
      </c>
      <c r="L53" s="167">
        <f t="shared" si="9"/>
        <v>0</v>
      </c>
      <c r="M53" s="138">
        <f>표2[[#This Row],[지원인원]]+표2[[#This Row],[지원인원3]]+표2[[#This Row],[지원인원33]]+J53+K53+L53</f>
        <v>45</v>
      </c>
      <c r="N53" s="50"/>
      <c r="O53" s="50"/>
      <c r="P53" s="51"/>
      <c r="Q53" s="52"/>
      <c r="R53" s="52"/>
      <c r="S53" s="52"/>
    </row>
    <row r="54" spans="1:19" x14ac:dyDescent="0.3">
      <c r="A54" s="133" t="s">
        <v>84</v>
      </c>
      <c r="B54" s="159" t="s">
        <v>92</v>
      </c>
      <c r="C54" s="155">
        <f>AM11</f>
        <v>15</v>
      </c>
      <c r="D54" s="162">
        <f t="shared" si="0"/>
        <v>15</v>
      </c>
      <c r="E54" s="140">
        <f t="shared" si="1"/>
        <v>8</v>
      </c>
      <c r="F54" s="164">
        <f t="shared" si="2"/>
        <v>10</v>
      </c>
      <c r="G54" s="143">
        <f t="shared" si="4"/>
        <v>1</v>
      </c>
      <c r="H54" s="136">
        <f t="shared" si="5"/>
        <v>3</v>
      </c>
      <c r="I54" s="140">
        <f t="shared" si="6"/>
        <v>2</v>
      </c>
      <c r="J54" s="167">
        <f t="shared" si="7"/>
        <v>2</v>
      </c>
      <c r="K54" s="167">
        <f t="shared" si="8"/>
        <v>0</v>
      </c>
      <c r="L54" s="167">
        <f t="shared" si="9"/>
        <v>0</v>
      </c>
      <c r="M54" s="138">
        <f>표2[[#This Row],[지원인원]]+표2[[#This Row],[지원인원3]]+표2[[#This Row],[지원인원33]]+J54+K54+L54</f>
        <v>30</v>
      </c>
      <c r="N54" s="50"/>
      <c r="O54" s="50"/>
      <c r="P54" s="51"/>
      <c r="Q54" s="52"/>
      <c r="R54" s="52"/>
      <c r="S54" s="52"/>
    </row>
    <row r="55" spans="1:19" x14ac:dyDescent="0.3">
      <c r="A55" s="133" t="s">
        <v>84</v>
      </c>
      <c r="B55" s="159" t="s">
        <v>93</v>
      </c>
      <c r="C55" s="155">
        <f t="shared" si="3"/>
        <v>16</v>
      </c>
      <c r="D55" s="162">
        <f t="shared" si="0"/>
        <v>19</v>
      </c>
      <c r="E55" s="140">
        <f t="shared" si="1"/>
        <v>5</v>
      </c>
      <c r="F55" s="164">
        <f t="shared" si="2"/>
        <v>16</v>
      </c>
      <c r="G55" s="143">
        <f t="shared" si="4"/>
        <v>1</v>
      </c>
      <c r="H55" s="136">
        <f t="shared" si="5"/>
        <v>2</v>
      </c>
      <c r="I55" s="140">
        <f t="shared" si="6"/>
        <v>2</v>
      </c>
      <c r="J55" s="167">
        <f t="shared" si="7"/>
        <v>1</v>
      </c>
      <c r="K55" s="167">
        <f t="shared" si="8"/>
        <v>2</v>
      </c>
      <c r="L55" s="167">
        <f t="shared" si="9"/>
        <v>0</v>
      </c>
      <c r="M55" s="138">
        <f>표2[[#This Row],[지원인원]]+표2[[#This Row],[지원인원3]]+표2[[#This Row],[지원인원33]]+J55+K55+L55</f>
        <v>40</v>
      </c>
      <c r="N55" s="50"/>
      <c r="O55" s="50"/>
      <c r="P55" s="51"/>
      <c r="Q55" s="52"/>
      <c r="R55" s="52"/>
      <c r="S55" s="52"/>
    </row>
    <row r="56" spans="1:19" x14ac:dyDescent="0.3">
      <c r="A56" s="133" t="s">
        <v>84</v>
      </c>
      <c r="B56" s="159" t="s">
        <v>94</v>
      </c>
      <c r="C56" s="155">
        <f t="shared" si="3"/>
        <v>18</v>
      </c>
      <c r="D56" s="162">
        <f t="shared" si="0"/>
        <v>13</v>
      </c>
      <c r="E56" s="140">
        <f t="shared" si="1"/>
        <v>5</v>
      </c>
      <c r="F56" s="164">
        <f t="shared" si="2"/>
        <v>11</v>
      </c>
      <c r="G56" s="143">
        <f t="shared" si="4"/>
        <v>1</v>
      </c>
      <c r="H56" s="136">
        <f t="shared" si="5"/>
        <v>0</v>
      </c>
      <c r="I56" s="140">
        <f t="shared" si="6"/>
        <v>2</v>
      </c>
      <c r="J56" s="167">
        <f t="shared" si="7"/>
        <v>0</v>
      </c>
      <c r="K56" s="167">
        <f t="shared" si="8"/>
        <v>0</v>
      </c>
      <c r="L56" s="167">
        <f t="shared" si="9"/>
        <v>0</v>
      </c>
      <c r="M56" s="138">
        <f>표2[[#This Row],[지원인원]]+표2[[#This Row],[지원인원3]]+표2[[#This Row],[지원인원33]]+J56+K56+L56</f>
        <v>24</v>
      </c>
      <c r="N56" s="50"/>
      <c r="O56" s="50"/>
      <c r="P56" s="51"/>
      <c r="Q56" s="52"/>
      <c r="R56" s="52"/>
      <c r="S56" s="52"/>
    </row>
    <row r="57" spans="1:19" x14ac:dyDescent="0.3">
      <c r="A57" s="133" t="s">
        <v>84</v>
      </c>
      <c r="B57" s="159" t="s">
        <v>95</v>
      </c>
      <c r="C57" s="155">
        <f t="shared" si="3"/>
        <v>24</v>
      </c>
      <c r="D57" s="162">
        <f t="shared" si="0"/>
        <v>4</v>
      </c>
      <c r="E57" s="140">
        <f t="shared" si="1"/>
        <v>6</v>
      </c>
      <c r="F57" s="164">
        <f t="shared" si="2"/>
        <v>5</v>
      </c>
      <c r="G57" s="143">
        <f t="shared" si="4"/>
        <v>1</v>
      </c>
      <c r="H57" s="136">
        <f t="shared" si="5"/>
        <v>1</v>
      </c>
      <c r="I57" s="140">
        <f t="shared" si="6"/>
        <v>2</v>
      </c>
      <c r="J57" s="167">
        <f t="shared" si="7"/>
        <v>0</v>
      </c>
      <c r="K57" s="167">
        <f t="shared" si="8"/>
        <v>0</v>
      </c>
      <c r="L57" s="167">
        <f t="shared" si="9"/>
        <v>0</v>
      </c>
      <c r="M57" s="138">
        <f>표2[[#This Row],[지원인원]]+표2[[#This Row],[지원인원3]]+표2[[#This Row],[지원인원33]]+J57+K57+L57</f>
        <v>10</v>
      </c>
      <c r="N57" s="50"/>
      <c r="O57" s="50"/>
      <c r="P57" s="51"/>
      <c r="Q57" s="52"/>
      <c r="R57" s="52"/>
      <c r="S57" s="52"/>
    </row>
    <row r="58" spans="1:19" x14ac:dyDescent="0.3">
      <c r="A58" s="133" t="s">
        <v>84</v>
      </c>
      <c r="B58" s="159" t="s">
        <v>96</v>
      </c>
      <c r="C58" s="155">
        <f t="shared" si="3"/>
        <v>19</v>
      </c>
      <c r="D58" s="162">
        <f t="shared" si="0"/>
        <v>7</v>
      </c>
      <c r="E58" s="140">
        <f t="shared" si="1"/>
        <v>4</v>
      </c>
      <c r="F58" s="164">
        <f t="shared" si="2"/>
        <v>1</v>
      </c>
      <c r="G58" s="143">
        <f t="shared" si="4"/>
        <v>1</v>
      </c>
      <c r="H58" s="136">
        <f t="shared" si="5"/>
        <v>0</v>
      </c>
      <c r="I58" s="140">
        <f t="shared" si="6"/>
        <v>2</v>
      </c>
      <c r="J58" s="167">
        <f t="shared" si="7"/>
        <v>1</v>
      </c>
      <c r="K58" s="167">
        <f t="shared" si="8"/>
        <v>0</v>
      </c>
      <c r="L58" s="167">
        <f t="shared" si="9"/>
        <v>0</v>
      </c>
      <c r="M58" s="138">
        <f>표2[[#This Row],[지원인원]]+표2[[#This Row],[지원인원3]]+표2[[#This Row],[지원인원33]]+J58+K58+L58</f>
        <v>9</v>
      </c>
      <c r="N58" s="50"/>
      <c r="O58" s="50"/>
      <c r="P58" s="51"/>
      <c r="Q58" s="52"/>
      <c r="R58" s="52"/>
      <c r="S58" s="52"/>
    </row>
    <row r="59" spans="1:19" x14ac:dyDescent="0.3">
      <c r="A59" s="133" t="s">
        <v>84</v>
      </c>
      <c r="B59" s="159" t="s">
        <v>97</v>
      </c>
      <c r="C59" s="155">
        <f t="shared" si="3"/>
        <v>18</v>
      </c>
      <c r="D59" s="162">
        <f t="shared" si="0"/>
        <v>10</v>
      </c>
      <c r="E59" s="140">
        <f t="shared" si="1"/>
        <v>5</v>
      </c>
      <c r="F59" s="164">
        <f t="shared" si="2"/>
        <v>5</v>
      </c>
      <c r="G59" s="143">
        <f t="shared" si="4"/>
        <v>1</v>
      </c>
      <c r="H59" s="136">
        <f t="shared" si="5"/>
        <v>0</v>
      </c>
      <c r="I59" s="140">
        <f t="shared" si="6"/>
        <v>2</v>
      </c>
      <c r="J59" s="167">
        <f t="shared" si="7"/>
        <v>1</v>
      </c>
      <c r="K59" s="167">
        <f t="shared" si="8"/>
        <v>0</v>
      </c>
      <c r="L59" s="167">
        <f t="shared" si="9"/>
        <v>0</v>
      </c>
      <c r="M59" s="138">
        <f>표2[[#This Row],[지원인원]]+표2[[#This Row],[지원인원3]]+표2[[#This Row],[지원인원33]]+J59+K59+L59</f>
        <v>16</v>
      </c>
      <c r="N59" s="50"/>
      <c r="O59" s="50"/>
      <c r="P59" s="51"/>
      <c r="Q59" s="52"/>
      <c r="R59" s="52"/>
      <c r="S59" s="52"/>
    </row>
    <row r="60" spans="1:19" x14ac:dyDescent="0.3">
      <c r="A60" s="133" t="s">
        <v>84</v>
      </c>
      <c r="B60" s="159" t="s">
        <v>98</v>
      </c>
      <c r="C60" s="155">
        <f t="shared" si="3"/>
        <v>12</v>
      </c>
      <c r="D60" s="162">
        <f t="shared" si="0"/>
        <v>4</v>
      </c>
      <c r="E60" s="140">
        <f t="shared" si="1"/>
        <v>3</v>
      </c>
      <c r="F60" s="164">
        <f t="shared" si="2"/>
        <v>2</v>
      </c>
      <c r="G60" s="143">
        <f t="shared" si="4"/>
        <v>1</v>
      </c>
      <c r="H60" s="136">
        <f t="shared" si="5"/>
        <v>0</v>
      </c>
      <c r="I60" s="140">
        <f t="shared" si="6"/>
        <v>2</v>
      </c>
      <c r="J60" s="167">
        <f t="shared" si="7"/>
        <v>2</v>
      </c>
      <c r="K60" s="167">
        <f t="shared" si="8"/>
        <v>0</v>
      </c>
      <c r="L60" s="167">
        <f t="shared" si="9"/>
        <v>0</v>
      </c>
      <c r="M60" s="138">
        <f>표2[[#This Row],[지원인원]]+표2[[#This Row],[지원인원3]]+표2[[#This Row],[지원인원33]]+J60+K60+L60</f>
        <v>8</v>
      </c>
      <c r="N60" s="50"/>
      <c r="O60" s="50"/>
      <c r="P60" s="50"/>
      <c r="Q60" s="52"/>
      <c r="R60" s="52"/>
      <c r="S60" s="52"/>
    </row>
    <row r="61" spans="1:19" x14ac:dyDescent="0.3">
      <c r="A61" s="133" t="s">
        <v>84</v>
      </c>
      <c r="B61" s="159" t="s">
        <v>99</v>
      </c>
      <c r="C61" s="155">
        <f t="shared" si="3"/>
        <v>18</v>
      </c>
      <c r="D61" s="162">
        <f t="shared" si="0"/>
        <v>9</v>
      </c>
      <c r="E61" s="140">
        <f t="shared" si="1"/>
        <v>4</v>
      </c>
      <c r="F61" s="164">
        <f t="shared" si="2"/>
        <v>3</v>
      </c>
      <c r="G61" s="143">
        <f t="shared" si="4"/>
        <v>1</v>
      </c>
      <c r="H61" s="136">
        <f t="shared" si="5"/>
        <v>0</v>
      </c>
      <c r="I61" s="140">
        <f t="shared" si="6"/>
        <v>2</v>
      </c>
      <c r="J61" s="167">
        <f t="shared" si="7"/>
        <v>1</v>
      </c>
      <c r="K61" s="167">
        <f t="shared" si="8"/>
        <v>0</v>
      </c>
      <c r="L61" s="167">
        <f t="shared" si="9"/>
        <v>0</v>
      </c>
      <c r="M61" s="138">
        <f>표2[[#This Row],[지원인원]]+표2[[#This Row],[지원인원3]]+표2[[#This Row],[지원인원33]]+J61+K61+L61</f>
        <v>13</v>
      </c>
      <c r="N61" s="50"/>
      <c r="O61" s="50"/>
      <c r="P61" s="51"/>
      <c r="Q61" s="52"/>
      <c r="R61" s="52"/>
      <c r="S61" s="52"/>
    </row>
    <row r="62" spans="1:19" x14ac:dyDescent="0.3">
      <c r="A62" s="133" t="s">
        <v>84</v>
      </c>
      <c r="B62" s="159" t="s">
        <v>100</v>
      </c>
      <c r="C62" s="155">
        <f t="shared" si="3"/>
        <v>16</v>
      </c>
      <c r="D62" s="162">
        <f t="shared" si="0"/>
        <v>5</v>
      </c>
      <c r="E62" s="140">
        <f t="shared" si="1"/>
        <v>4</v>
      </c>
      <c r="F62" s="164">
        <f t="shared" si="2"/>
        <v>3</v>
      </c>
      <c r="G62" s="143">
        <f t="shared" si="4"/>
        <v>1</v>
      </c>
      <c r="H62" s="136">
        <f t="shared" si="5"/>
        <v>1</v>
      </c>
      <c r="I62" s="140">
        <f t="shared" si="6"/>
        <v>2</v>
      </c>
      <c r="J62" s="167">
        <f t="shared" si="7"/>
        <v>0</v>
      </c>
      <c r="K62" s="167">
        <f t="shared" si="8"/>
        <v>0</v>
      </c>
      <c r="L62" s="167">
        <f t="shared" si="9"/>
        <v>0</v>
      </c>
      <c r="M62" s="138">
        <f>표2[[#This Row],[지원인원]]+표2[[#This Row],[지원인원3]]+표2[[#This Row],[지원인원33]]+J62+K62+L62</f>
        <v>9</v>
      </c>
      <c r="N62" s="50"/>
      <c r="O62" s="50"/>
      <c r="P62" s="51"/>
      <c r="Q62" s="52"/>
      <c r="R62" s="52"/>
      <c r="S62" s="52"/>
    </row>
    <row r="63" spans="1:19" x14ac:dyDescent="0.3">
      <c r="A63" s="133" t="s">
        <v>84</v>
      </c>
      <c r="B63" s="159" t="s">
        <v>101</v>
      </c>
      <c r="C63" s="155">
        <f t="shared" si="3"/>
        <v>24</v>
      </c>
      <c r="D63" s="162">
        <f t="shared" si="0"/>
        <v>9</v>
      </c>
      <c r="E63" s="140">
        <f t="shared" si="1"/>
        <v>6</v>
      </c>
      <c r="F63" s="164">
        <f t="shared" si="2"/>
        <v>6</v>
      </c>
      <c r="G63" s="143">
        <f t="shared" si="4"/>
        <v>1</v>
      </c>
      <c r="H63" s="136">
        <f t="shared" si="5"/>
        <v>1</v>
      </c>
      <c r="I63" s="140">
        <f t="shared" si="6"/>
        <v>2</v>
      </c>
      <c r="J63" s="167">
        <f t="shared" si="7"/>
        <v>2</v>
      </c>
      <c r="K63" s="167">
        <f t="shared" si="8"/>
        <v>1</v>
      </c>
      <c r="L63" s="167">
        <f t="shared" si="9"/>
        <v>0</v>
      </c>
      <c r="M63" s="138">
        <f>표2[[#This Row],[지원인원]]+표2[[#This Row],[지원인원3]]+표2[[#This Row],[지원인원33]]+J63+K63+L63</f>
        <v>19</v>
      </c>
      <c r="N63" s="50"/>
      <c r="O63" s="50"/>
      <c r="P63" s="51"/>
      <c r="Q63" s="52"/>
      <c r="R63" s="52"/>
      <c r="S63" s="52"/>
    </row>
    <row r="64" spans="1:19" x14ac:dyDescent="0.3">
      <c r="A64" s="133" t="s">
        <v>84</v>
      </c>
      <c r="B64" s="159" t="s">
        <v>102</v>
      </c>
      <c r="C64" s="155">
        <f t="shared" si="3"/>
        <v>18</v>
      </c>
      <c r="D64" s="162">
        <f t="shared" si="0"/>
        <v>13</v>
      </c>
      <c r="E64" s="140">
        <f t="shared" si="1"/>
        <v>4</v>
      </c>
      <c r="F64" s="164">
        <f t="shared" si="2"/>
        <v>3</v>
      </c>
      <c r="G64" s="143">
        <f t="shared" si="4"/>
        <v>1</v>
      </c>
      <c r="H64" s="136">
        <f t="shared" si="5"/>
        <v>0</v>
      </c>
      <c r="I64" s="140">
        <f t="shared" si="6"/>
        <v>2</v>
      </c>
      <c r="J64" s="167">
        <f t="shared" si="7"/>
        <v>1</v>
      </c>
      <c r="K64" s="167">
        <f t="shared" si="8"/>
        <v>0</v>
      </c>
      <c r="L64" s="167">
        <f t="shared" si="9"/>
        <v>0</v>
      </c>
      <c r="M64" s="138">
        <f>표2[[#This Row],[지원인원]]+표2[[#This Row],[지원인원3]]+표2[[#This Row],[지원인원33]]+J64+K64+L64</f>
        <v>17</v>
      </c>
      <c r="N64" s="50"/>
      <c r="O64" s="50"/>
      <c r="P64" s="51"/>
      <c r="Q64" s="52"/>
      <c r="R64" s="52"/>
      <c r="S64" s="52"/>
    </row>
    <row r="65" spans="1:19" x14ac:dyDescent="0.3">
      <c r="A65" s="133" t="s">
        <v>84</v>
      </c>
      <c r="B65" s="159" t="s">
        <v>103</v>
      </c>
      <c r="C65" s="155">
        <f t="shared" si="3"/>
        <v>18</v>
      </c>
      <c r="D65" s="162">
        <f t="shared" si="0"/>
        <v>13</v>
      </c>
      <c r="E65" s="140">
        <f t="shared" si="1"/>
        <v>5</v>
      </c>
      <c r="F65" s="164">
        <f t="shared" si="2"/>
        <v>6</v>
      </c>
      <c r="G65" s="143">
        <f t="shared" si="4"/>
        <v>1</v>
      </c>
      <c r="H65" s="136">
        <f t="shared" si="5"/>
        <v>0</v>
      </c>
      <c r="I65" s="140">
        <f t="shared" si="6"/>
        <v>2</v>
      </c>
      <c r="J65" s="167">
        <f t="shared" si="7"/>
        <v>2</v>
      </c>
      <c r="K65" s="167">
        <f t="shared" si="8"/>
        <v>0</v>
      </c>
      <c r="L65" s="167">
        <f t="shared" si="9"/>
        <v>0</v>
      </c>
      <c r="M65" s="138">
        <f>표2[[#This Row],[지원인원]]+표2[[#This Row],[지원인원3]]+표2[[#This Row],[지원인원33]]+J65+K65+L65</f>
        <v>21</v>
      </c>
      <c r="N65" s="50"/>
      <c r="O65" s="50"/>
      <c r="P65" s="51"/>
      <c r="Q65" s="52"/>
      <c r="R65" s="52"/>
      <c r="S65" s="52"/>
    </row>
    <row r="66" spans="1:19" x14ac:dyDescent="0.3">
      <c r="A66" s="133" t="s">
        <v>84</v>
      </c>
      <c r="B66" s="159" t="s">
        <v>104</v>
      </c>
      <c r="C66" s="155">
        <f t="shared" si="3"/>
        <v>18</v>
      </c>
      <c r="D66" s="162">
        <f t="shared" si="0"/>
        <v>11</v>
      </c>
      <c r="E66" s="140">
        <f t="shared" si="1"/>
        <v>5</v>
      </c>
      <c r="F66" s="164">
        <f t="shared" si="2"/>
        <v>9</v>
      </c>
      <c r="G66" s="143">
        <f t="shared" si="4"/>
        <v>1</v>
      </c>
      <c r="H66" s="136">
        <f t="shared" si="5"/>
        <v>0</v>
      </c>
      <c r="I66" s="140">
        <f t="shared" si="6"/>
        <v>2</v>
      </c>
      <c r="J66" s="167">
        <f t="shared" si="7"/>
        <v>3</v>
      </c>
      <c r="K66" s="167">
        <f t="shared" si="8"/>
        <v>0</v>
      </c>
      <c r="L66" s="167">
        <f t="shared" si="9"/>
        <v>0</v>
      </c>
      <c r="M66" s="138">
        <f>표2[[#This Row],[지원인원]]+표2[[#This Row],[지원인원3]]+표2[[#This Row],[지원인원33]]+J66+K66+L66</f>
        <v>23</v>
      </c>
      <c r="N66" s="50"/>
      <c r="O66" s="50"/>
      <c r="P66" s="51"/>
      <c r="Q66" s="52"/>
      <c r="R66" s="52"/>
      <c r="S66" s="52"/>
    </row>
    <row r="67" spans="1:19" x14ac:dyDescent="0.3">
      <c r="A67" s="133" t="s">
        <v>105</v>
      </c>
      <c r="B67" s="159" t="s">
        <v>106</v>
      </c>
      <c r="C67" s="155">
        <f t="shared" si="3"/>
        <v>15</v>
      </c>
      <c r="D67" s="162">
        <f t="shared" si="0"/>
        <v>12</v>
      </c>
      <c r="E67" s="140">
        <f t="shared" si="1"/>
        <v>4</v>
      </c>
      <c r="F67" s="164">
        <f t="shared" si="2"/>
        <v>5</v>
      </c>
      <c r="G67" s="143">
        <f t="shared" si="4"/>
        <v>1</v>
      </c>
      <c r="H67" s="136">
        <f t="shared" si="5"/>
        <v>0</v>
      </c>
      <c r="I67" s="140">
        <f t="shared" si="6"/>
        <v>2</v>
      </c>
      <c r="J67" s="167">
        <f t="shared" si="7"/>
        <v>0</v>
      </c>
      <c r="K67" s="167">
        <f t="shared" si="8"/>
        <v>0</v>
      </c>
      <c r="L67" s="167">
        <f t="shared" si="9"/>
        <v>0</v>
      </c>
      <c r="M67" s="138">
        <f>표2[[#This Row],[지원인원]]+표2[[#This Row],[지원인원3]]+표2[[#This Row],[지원인원33]]+J67+K67+L67</f>
        <v>17</v>
      </c>
      <c r="N67" s="52"/>
      <c r="O67" s="52"/>
      <c r="P67" s="52"/>
      <c r="Q67" s="52"/>
      <c r="R67" s="52"/>
      <c r="S67" s="52"/>
    </row>
    <row r="68" spans="1:19" x14ac:dyDescent="0.3">
      <c r="A68" s="133" t="s">
        <v>105</v>
      </c>
      <c r="B68" s="159" t="s">
        <v>107</v>
      </c>
      <c r="C68" s="155">
        <f t="shared" si="3"/>
        <v>14</v>
      </c>
      <c r="D68" s="162">
        <f t="shared" si="0"/>
        <v>14</v>
      </c>
      <c r="E68" s="140">
        <f t="shared" si="1"/>
        <v>4</v>
      </c>
      <c r="F68" s="164">
        <f t="shared" si="2"/>
        <v>3</v>
      </c>
      <c r="G68" s="143">
        <f t="shared" si="4"/>
        <v>1</v>
      </c>
      <c r="H68" s="136">
        <f t="shared" si="5"/>
        <v>0</v>
      </c>
      <c r="I68" s="140">
        <f t="shared" si="6"/>
        <v>2</v>
      </c>
      <c r="J68" s="167">
        <f t="shared" si="7"/>
        <v>0</v>
      </c>
      <c r="K68" s="167">
        <f t="shared" si="8"/>
        <v>0</v>
      </c>
      <c r="L68" s="167">
        <f t="shared" si="9"/>
        <v>0</v>
      </c>
      <c r="M68" s="138">
        <f>표2[[#This Row],[지원인원]]+표2[[#This Row],[지원인원3]]+표2[[#This Row],[지원인원33]]+J68+K68+L68</f>
        <v>17</v>
      </c>
    </row>
    <row r="69" spans="1:19" x14ac:dyDescent="0.3">
      <c r="A69" s="133" t="s">
        <v>108</v>
      </c>
      <c r="B69" s="159" t="s">
        <v>109</v>
      </c>
      <c r="C69" s="155">
        <f>AM26+C41</f>
        <v>37</v>
      </c>
      <c r="D69" s="162">
        <f>AN26+D41</f>
        <v>275</v>
      </c>
      <c r="E69" s="140">
        <f t="shared" si="1"/>
        <v>3</v>
      </c>
      <c r="F69" s="164">
        <f t="shared" si="2"/>
        <v>19</v>
      </c>
      <c r="G69" s="143">
        <f t="shared" si="4"/>
        <v>3</v>
      </c>
      <c r="H69" s="136">
        <f t="shared" si="5"/>
        <v>8</v>
      </c>
      <c r="I69" s="140">
        <f t="shared" si="6"/>
        <v>3</v>
      </c>
      <c r="J69" s="167">
        <f t="shared" si="7"/>
        <v>16</v>
      </c>
      <c r="K69" s="167">
        <f t="shared" si="8"/>
        <v>4</v>
      </c>
      <c r="L69" s="167">
        <f t="shared" si="9"/>
        <v>0</v>
      </c>
      <c r="M69" s="138">
        <f>표2[[#This Row],[지원인원]]+표2[[#This Row],[지원인원3]]+표2[[#This Row],[지원인원33]]+J69+K69+L69</f>
        <v>322</v>
      </c>
    </row>
    <row r="70" spans="1:19" x14ac:dyDescent="0.3">
      <c r="A70" s="133" t="s">
        <v>108</v>
      </c>
      <c r="B70" s="159" t="s">
        <v>110</v>
      </c>
      <c r="C70" s="155">
        <f t="shared" si="3"/>
        <v>18</v>
      </c>
      <c r="D70" s="162">
        <f t="shared" si="0"/>
        <v>23</v>
      </c>
      <c r="E70" s="140">
        <f t="shared" si="1"/>
        <v>5</v>
      </c>
      <c r="F70" s="164">
        <f t="shared" si="2"/>
        <v>12</v>
      </c>
      <c r="G70" s="143">
        <f t="shared" si="4"/>
        <v>1</v>
      </c>
      <c r="H70" s="136">
        <f t="shared" si="5"/>
        <v>2</v>
      </c>
      <c r="I70" s="140">
        <f t="shared" si="6"/>
        <v>2</v>
      </c>
      <c r="J70" s="167">
        <f t="shared" si="7"/>
        <v>2</v>
      </c>
      <c r="K70" s="167">
        <f t="shared" si="8"/>
        <v>1</v>
      </c>
      <c r="L70" s="167">
        <f t="shared" si="9"/>
        <v>0</v>
      </c>
      <c r="M70" s="138">
        <f>표2[[#This Row],[지원인원]]+표2[[#This Row],[지원인원3]]+표2[[#This Row],[지원인원33]]+J70+K70+L70</f>
        <v>40</v>
      </c>
    </row>
    <row r="71" spans="1:19" x14ac:dyDescent="0.3">
      <c r="A71" s="133" t="s">
        <v>108</v>
      </c>
      <c r="B71" s="159" t="s">
        <v>111</v>
      </c>
      <c r="C71" s="155">
        <f t="shared" si="3"/>
        <v>18</v>
      </c>
      <c r="D71" s="162">
        <f t="shared" si="0"/>
        <v>27</v>
      </c>
      <c r="E71" s="140">
        <f t="shared" si="1"/>
        <v>4</v>
      </c>
      <c r="F71" s="164">
        <f t="shared" si="2"/>
        <v>11</v>
      </c>
      <c r="G71" s="143">
        <f t="shared" si="4"/>
        <v>1</v>
      </c>
      <c r="H71" s="136">
        <f t="shared" si="5"/>
        <v>1</v>
      </c>
      <c r="I71" s="140">
        <f t="shared" si="6"/>
        <v>1</v>
      </c>
      <c r="J71" s="167">
        <f t="shared" si="7"/>
        <v>3</v>
      </c>
      <c r="K71" s="167">
        <f t="shared" si="8"/>
        <v>0</v>
      </c>
      <c r="L71" s="167">
        <f t="shared" si="9"/>
        <v>0</v>
      </c>
      <c r="M71" s="138">
        <f>표2[[#This Row],[지원인원]]+표2[[#This Row],[지원인원3]]+표2[[#This Row],[지원인원33]]+J71+K71+L71</f>
        <v>42</v>
      </c>
    </row>
    <row r="72" spans="1:19" x14ac:dyDescent="0.3">
      <c r="A72" s="133" t="s">
        <v>108</v>
      </c>
      <c r="B72" s="159" t="s">
        <v>112</v>
      </c>
      <c r="C72" s="155">
        <f t="shared" si="3"/>
        <v>18</v>
      </c>
      <c r="D72" s="162">
        <f t="shared" si="0"/>
        <v>9</v>
      </c>
      <c r="E72" s="140">
        <f t="shared" si="1"/>
        <v>4</v>
      </c>
      <c r="F72" s="164">
        <f t="shared" si="2"/>
        <v>9</v>
      </c>
      <c r="G72" s="143">
        <f t="shared" si="4"/>
        <v>1</v>
      </c>
      <c r="H72" s="136">
        <f t="shared" si="5"/>
        <v>0</v>
      </c>
      <c r="I72" s="140">
        <f t="shared" si="6"/>
        <v>1</v>
      </c>
      <c r="J72" s="167">
        <f t="shared" si="7"/>
        <v>3</v>
      </c>
      <c r="K72" s="167">
        <f t="shared" si="8"/>
        <v>0</v>
      </c>
      <c r="L72" s="167">
        <f t="shared" si="9"/>
        <v>0</v>
      </c>
      <c r="M72" s="138">
        <f>표2[[#This Row],[지원인원]]+표2[[#This Row],[지원인원3]]+표2[[#This Row],[지원인원33]]+J72+K72+L72</f>
        <v>21</v>
      </c>
    </row>
    <row r="73" spans="1:19" x14ac:dyDescent="0.3">
      <c r="A73" s="133" t="s">
        <v>108</v>
      </c>
      <c r="B73" s="159" t="s">
        <v>113</v>
      </c>
      <c r="C73" s="155">
        <f t="shared" si="3"/>
        <v>16</v>
      </c>
      <c r="D73" s="162">
        <f t="shared" si="0"/>
        <v>15</v>
      </c>
      <c r="E73" s="140">
        <f t="shared" si="1"/>
        <v>6</v>
      </c>
      <c r="F73" s="164">
        <f t="shared" si="2"/>
        <v>6</v>
      </c>
      <c r="G73" s="143">
        <f t="shared" si="4"/>
        <v>1</v>
      </c>
      <c r="H73" s="136">
        <f t="shared" si="5"/>
        <v>0</v>
      </c>
      <c r="I73" s="140">
        <f t="shared" si="6"/>
        <v>1</v>
      </c>
      <c r="J73" s="167">
        <f t="shared" si="7"/>
        <v>2</v>
      </c>
      <c r="K73" s="167">
        <f t="shared" si="8"/>
        <v>0</v>
      </c>
      <c r="L73" s="167">
        <f t="shared" si="9"/>
        <v>0</v>
      </c>
      <c r="M73" s="138">
        <f>표2[[#This Row],[지원인원]]+표2[[#This Row],[지원인원3]]+표2[[#This Row],[지원인원33]]+J73+K73+L73</f>
        <v>23</v>
      </c>
    </row>
    <row r="74" spans="1:19" x14ac:dyDescent="0.3">
      <c r="A74" s="133" t="s">
        <v>108</v>
      </c>
      <c r="B74" s="159" t="s">
        <v>114</v>
      </c>
      <c r="C74" s="155">
        <f t="shared" si="3"/>
        <v>12</v>
      </c>
      <c r="D74" s="162">
        <f t="shared" si="0"/>
        <v>8</v>
      </c>
      <c r="E74" s="140">
        <f t="shared" si="1"/>
        <v>3</v>
      </c>
      <c r="F74" s="164">
        <f t="shared" si="2"/>
        <v>1</v>
      </c>
      <c r="G74" s="143">
        <f t="shared" si="4"/>
        <v>1</v>
      </c>
      <c r="H74" s="136">
        <f t="shared" si="5"/>
        <v>0</v>
      </c>
      <c r="I74" s="140">
        <f t="shared" si="6"/>
        <v>2</v>
      </c>
      <c r="J74" s="167">
        <f t="shared" si="7"/>
        <v>2</v>
      </c>
      <c r="K74" s="167">
        <f t="shared" si="8"/>
        <v>0</v>
      </c>
      <c r="L74" s="167">
        <f t="shared" si="9"/>
        <v>0</v>
      </c>
      <c r="M74" s="138">
        <f>표2[[#This Row],[지원인원]]+표2[[#This Row],[지원인원3]]+표2[[#This Row],[지원인원33]]+J74+K74+L74</f>
        <v>11</v>
      </c>
    </row>
    <row r="75" spans="1:19" ht="17.25" thickBot="1" x14ac:dyDescent="0.35">
      <c r="A75" s="145" t="s">
        <v>105</v>
      </c>
      <c r="B75" s="160" t="s">
        <v>115</v>
      </c>
      <c r="C75" s="156">
        <f t="shared" si="3"/>
        <v>12</v>
      </c>
      <c r="D75" s="163">
        <f t="shared" si="0"/>
        <v>19</v>
      </c>
      <c r="E75" s="146">
        <f t="shared" si="1"/>
        <v>3</v>
      </c>
      <c r="F75" s="165">
        <f t="shared" si="2"/>
        <v>4</v>
      </c>
      <c r="G75" s="147">
        <f t="shared" si="4"/>
        <v>1</v>
      </c>
      <c r="H75" s="166">
        <f t="shared" si="5"/>
        <v>0</v>
      </c>
      <c r="I75" s="146">
        <f t="shared" si="6"/>
        <v>2</v>
      </c>
      <c r="J75" s="168">
        <f t="shared" si="7"/>
        <v>3</v>
      </c>
      <c r="K75" s="168">
        <f t="shared" si="8"/>
        <v>1</v>
      </c>
      <c r="L75" s="168">
        <f t="shared" si="9"/>
        <v>0</v>
      </c>
      <c r="M75" s="148">
        <f>표2[[#This Row],[지원인원]]+표2[[#This Row],[지원인원3]]+표2[[#This Row],[지원인원33]]+J75+K75+L75</f>
        <v>27</v>
      </c>
    </row>
    <row r="76" spans="1:19" ht="18" thickBot="1" x14ac:dyDescent="0.35">
      <c r="A76" s="149" t="s">
        <v>116</v>
      </c>
      <c r="B76" s="161" t="s">
        <v>116</v>
      </c>
      <c r="C76" s="153">
        <f>SUM(C47:C75)</f>
        <v>507</v>
      </c>
      <c r="D76" s="151">
        <f>SUM(D47:D75)</f>
        <v>623</v>
      </c>
      <c r="E76" s="150">
        <f t="shared" si="1"/>
        <v>137</v>
      </c>
      <c r="F76" s="152">
        <f>SUM(F47:F75)</f>
        <v>199</v>
      </c>
      <c r="G76" s="153">
        <f>SUM(G48:G75)</f>
        <v>30</v>
      </c>
      <c r="H76" s="151">
        <f t="shared" ref="H76:L76" si="10">SUM(H48:H75)</f>
        <v>22</v>
      </c>
      <c r="I76" s="150">
        <f t="shared" si="10"/>
        <v>53</v>
      </c>
      <c r="J76" s="151">
        <f t="shared" si="10"/>
        <v>61</v>
      </c>
      <c r="K76" s="151">
        <f t="shared" si="10"/>
        <v>11</v>
      </c>
      <c r="L76" s="151">
        <f t="shared" si="10"/>
        <v>0</v>
      </c>
      <c r="M76" s="154">
        <f>SUM(M47:M75)</f>
        <v>916</v>
      </c>
    </row>
  </sheetData>
  <mergeCells count="9">
    <mergeCell ref="A44:B45"/>
    <mergeCell ref="M44:M45"/>
    <mergeCell ref="C2:E2"/>
    <mergeCell ref="C44:F44"/>
    <mergeCell ref="G44:L44"/>
    <mergeCell ref="C45:D45"/>
    <mergeCell ref="E45:F45"/>
    <mergeCell ref="G45:H45"/>
    <mergeCell ref="I45:J45"/>
  </mergeCells>
  <phoneticPr fontId="2" type="noConversion"/>
  <conditionalFormatting sqref="B4:B33 J4:L3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{6A494A23-53AA-4D87-8029-BB1B214BB630}</x14:id>
        </ext>
      </extLst>
    </cfRule>
  </conditionalFormatting>
  <conditionalFormatting sqref="I4:I3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{2AA5820E-71BE-4EC4-8C8F-B19E3B642882}</x14:id>
        </ext>
      </extLst>
    </cfRule>
  </conditionalFormatting>
  <pageMargins left="0.7" right="0.7" top="0.75" bottom="0.75" header="0.3" footer="0.3"/>
  <pageSetup paperSize="9" orientation="portrait" verticalDpi="0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494A23-53AA-4D87-8029-BB1B214BB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B4:B33 J4:L33</xm:sqref>
        </x14:conditionalFormatting>
        <x14:conditionalFormatting xmlns:xm="http://schemas.microsoft.com/office/excel/2006/main">
          <x14:cfRule type="dataBar" id="{2AA5820E-71BE-4EC4-8C8F-B19E3B64288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I4:I33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73D2F1-93E1-4DAC-B230-F10FB1058F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일자별 누계</vt:lpstr>
      <vt:lpstr>2026학년도 대학별 수시2차 지원현황</vt:lpstr>
      <vt:lpstr>학과별 원서접수 데이터</vt:lpstr>
      <vt:lpstr>정원내•외 지원 현황</vt:lpstr>
      <vt:lpstr>학과별 원서접수</vt:lpstr>
      <vt:lpstr>'학과별 원서접수'!Criteria</vt:lpstr>
      <vt:lpstr>'학과별 원서접수'!Extract</vt:lpstr>
    </vt:vector>
  </TitlesOfParts>
  <Company>인하공업전문대학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조성일[입학팀]</cp:lastModifiedBy>
  <dcterms:created xsi:type="dcterms:W3CDTF">2025-11-05T00:59:00Z</dcterms:created>
  <dcterms:modified xsi:type="dcterms:W3CDTF">2025-11-11T08:18:13Z</dcterms:modified>
</cp:coreProperties>
</file>